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mo\src\hl-investment-dashboard\backend\bot\eval_results\"/>
    </mc:Choice>
  </mc:AlternateContent>
  <xr:revisionPtr revIDLastSave="0" documentId="13_ncr:9_{D78F2070-AA3D-490A-BAA7-973E8CF4D665}" xr6:coauthVersionLast="47" xr6:coauthVersionMax="47" xr10:uidLastSave="{00000000-0000-0000-0000-000000000000}"/>
  <bookViews>
    <workbookView xWindow="-110" yWindow="-110" windowWidth="38620" windowHeight="21220" activeTab="1" xr2:uid="{CE97BBF2-D77A-495A-BB32-39216BE2F2E5}"/>
  </bookViews>
  <sheets>
    <sheet name="evals_summary" sheetId="1" r:id="rId1"/>
    <sheet name="pivots" sheetId="2" r:id="rId2"/>
  </sheets>
  <calcPr calcId="0"/>
  <pivotCaches>
    <pivotCache cacheId="6" r:id="rId3"/>
  </pivotCaches>
</workbook>
</file>

<file path=xl/calcChain.xml><?xml version="1.0" encoding="utf-8"?>
<calcChain xmlns="http://schemas.openxmlformats.org/spreadsheetml/2006/main">
  <c r="D18" i="2" l="1"/>
  <c r="E18" i="2"/>
  <c r="F18" i="2"/>
  <c r="G18" i="2"/>
  <c r="H18" i="2"/>
  <c r="C18" i="2"/>
</calcChain>
</file>

<file path=xl/sharedStrings.xml><?xml version="1.0" encoding="utf-8"?>
<sst xmlns="http://schemas.openxmlformats.org/spreadsheetml/2006/main" count="359" uniqueCount="49">
  <si>
    <t>filename</t>
  </si>
  <si>
    <t>test_case_id</t>
  </si>
  <si>
    <t>difficulty</t>
  </si>
  <si>
    <t>latency_s</t>
  </si>
  <si>
    <t>tool_call_count</t>
  </si>
  <si>
    <t>input_tokens</t>
  </si>
  <si>
    <t>output_tokens</t>
  </si>
  <si>
    <t>quality_score</t>
  </si>
  <si>
    <t>accuracy_judge_score</t>
  </si>
  <si>
    <t>20260604_1410_master_2da3861_haiku.json</t>
  </si>
  <si>
    <t>Q01</t>
  </si>
  <si>
    <t>simple</t>
  </si>
  <si>
    <t>Q02</t>
  </si>
  <si>
    <t>Q03</t>
  </si>
  <si>
    <t>Q04</t>
  </si>
  <si>
    <t>medium</t>
  </si>
  <si>
    <t>Q05</t>
  </si>
  <si>
    <t>Q06</t>
  </si>
  <si>
    <t>Q07</t>
  </si>
  <si>
    <t>complex</t>
  </si>
  <si>
    <t>Q08</t>
  </si>
  <si>
    <t>Q09</t>
  </si>
  <si>
    <t>Q10</t>
  </si>
  <si>
    <t>20260604_1508_claude-backend-rest-api-check-RYSua_9b45cb2_haiku.json</t>
  </si>
  <si>
    <t>20260604_1522_master_369088d_haiku.json</t>
  </si>
  <si>
    <t>20260604_1527_master_369088d_sonnet.json</t>
  </si>
  <si>
    <t>20260604_1538_claude-backend-rest-api-check-RYSua_0e64557_sonnet.json</t>
  </si>
  <si>
    <t>date</t>
  </si>
  <si>
    <t>time</t>
  </si>
  <si>
    <t>branch</t>
  </si>
  <si>
    <t>master</t>
  </si>
  <si>
    <t>2da3861</t>
  </si>
  <si>
    <t>claude-backend-rest-api-check-RYSua</t>
  </si>
  <si>
    <t>9b45cb2</t>
  </si>
  <si>
    <t>369088d</t>
  </si>
  <si>
    <t>0e64557</t>
  </si>
  <si>
    <t>commit</t>
  </si>
  <si>
    <t>judge</t>
  </si>
  <si>
    <t>haiku</t>
  </si>
  <si>
    <t>sonnet</t>
  </si>
  <si>
    <t>Row Labels</t>
  </si>
  <si>
    <t>Grand Total</t>
  </si>
  <si>
    <t>Sum of tool_call_count</t>
  </si>
  <si>
    <t>Sum of input_tokens</t>
  </si>
  <si>
    <t>Sum of output_tokens</t>
  </si>
  <si>
    <t>Average of accuracy_judge_score</t>
  </si>
  <si>
    <t>Average of quality_score</t>
  </si>
  <si>
    <t>Average of latency_s</t>
  </si>
  <si>
    <t>Pct_diff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</si>
</sst>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7" fontId="0" fillId="0" borderId="0" xfId="0" applyNumberFormat="1"/>
    <xf numFmtId="0" fontId="16" fillId="0" borderId="0" xfId="0" applyFont="1" applyAlignment="1">
      <alignment horizontal="left"/>
    </xf>
    <xf numFmtId="9" fontId="16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9"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6" formatCode="_-* #,##0.0_-;\-* #,##0.0_-;_-* &quot;-&quot;??_-;_-@_-"/>
    </dxf>
    <dxf>
      <numFmt numFmtId="167" formatCode="_-* #,##0_-;\-* #,##0_-;_-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_-* #,##0.000_-;\-* #,##0.000_-;_-* &quot;-&quot;??_-;_-@_-"/>
    </dxf>
    <dxf>
      <numFmt numFmtId="164" formatCode="_-* #,##0.000_-;\-* #,##0.000_-;_-* &quot;-&quot;??_-;_-@_-"/>
    </dxf>
    <dxf>
      <numFmt numFmtId="165" formatCode="_-* #,##0.0000_-;\-* #,##0.0000_-;_-* &quot;-&quot;??_-;_-@_-"/>
    </dxf>
    <dxf>
      <numFmt numFmtId="165" formatCode="_-* #,##0.0000_-;\-* #,##0.0000_-;_-* &quot;-&quot;??_-;_-@_-"/>
    </dxf>
    <dxf>
      <numFmt numFmtId="164" formatCode="_-* #,##0.000_-;\-* #,##0.000_-;_-* &quot;-&quot;??_-;_-@_-"/>
    </dxf>
    <dxf>
      <numFmt numFmtId="164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 Molyneaux" refreshedDate="46177.657221643516" createdVersion="8" refreshedVersion="8" minRefreshableVersion="3" recordCount="50" xr:uid="{1ADC9E0D-55C9-486C-8FD4-012E7A01FA59}">
  <cacheSource type="worksheet">
    <worksheetSource ref="A1:N51" sheet="evals_summary"/>
  </cacheSource>
  <cacheFields count="14">
    <cacheField name="filename" numFmtId="0">
      <sharedItems/>
    </cacheField>
    <cacheField name="test_case_id" numFmtId="0">
      <sharedItems count="10">
        <s v="Q01"/>
        <s v="Q02"/>
        <s v="Q03"/>
        <s v="Q04"/>
        <s v="Q05"/>
        <s v="Q06"/>
        <s v="Q07"/>
        <s v="Q08"/>
        <s v="Q09"/>
        <s v="Q10"/>
      </sharedItems>
    </cacheField>
    <cacheField name="difficulty" numFmtId="0">
      <sharedItems/>
    </cacheField>
    <cacheField name="latency_s" numFmtId="0">
      <sharedItems containsSemiMixedTypes="0" containsString="0" containsNumber="1" minValue="6.07" maxValue="45.91"/>
    </cacheField>
    <cacheField name="tool_call_count" numFmtId="0">
      <sharedItems containsSemiMixedTypes="0" containsString="0" containsNumber="1" containsInteger="1" minValue="1" maxValue="7"/>
    </cacheField>
    <cacheField name="input_tokens" numFmtId="0">
      <sharedItems containsSemiMixedTypes="0" containsString="0" containsNumber="1" containsInteger="1" minValue="6704" maxValue="26201"/>
    </cacheField>
    <cacheField name="output_tokens" numFmtId="0">
      <sharedItems containsSemiMixedTypes="0" containsString="0" containsNumber="1" containsInteger="1" minValue="72" maxValue="1575"/>
    </cacheField>
    <cacheField name="quality_score" numFmtId="0">
      <sharedItems containsSemiMixedTypes="0" containsString="0" containsNumber="1" containsInteger="1" minValue="2" maxValue="5"/>
    </cacheField>
    <cacheField name="accuracy_judge_score" numFmtId="0">
      <sharedItems containsSemiMixedTypes="0" containsString="0" containsNumber="1" containsInteger="1" minValue="1" maxValue="5"/>
    </cacheField>
    <cacheField name="date" numFmtId="0">
      <sharedItems containsSemiMixedTypes="0" containsString="0" containsNumber="1" containsInteger="1" minValue="20260604" maxValue="20260604"/>
    </cacheField>
    <cacheField name="time" numFmtId="0">
      <sharedItems containsSemiMixedTypes="0" containsString="0" containsNumber="1" containsInteger="1" minValue="1410" maxValue="1538"/>
    </cacheField>
    <cacheField name="branch" numFmtId="0">
      <sharedItems count="2">
        <s v="master"/>
        <s v="claude-backend-rest-api-check-RYSua"/>
      </sharedItems>
    </cacheField>
    <cacheField name="commit" numFmtId="0">
      <sharedItems count="4">
        <s v="2da3861"/>
        <s v="9b45cb2"/>
        <s v="369088d"/>
        <s v="0e64557"/>
      </sharedItems>
    </cacheField>
    <cacheField name="judge" numFmtId="0">
      <sharedItems count="2">
        <s v="haiku"/>
        <s v="sonn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20260604_1410_master_2da3861_haiku.json"/>
    <x v="0"/>
    <s v="simple"/>
    <n v="11.1"/>
    <n v="2"/>
    <n v="8533"/>
    <n v="137"/>
    <n v="5"/>
    <n v="4"/>
    <n v="20260604"/>
    <n v="1410"/>
    <x v="0"/>
    <x v="0"/>
    <x v="0"/>
  </r>
  <r>
    <s v="20260604_1410_master_2da3861_haiku.json"/>
    <x v="1"/>
    <s v="simple"/>
    <n v="8.43"/>
    <n v="1"/>
    <n v="7070"/>
    <n v="263"/>
    <n v="5"/>
    <n v="4"/>
    <n v="20260604"/>
    <n v="1410"/>
    <x v="0"/>
    <x v="0"/>
    <x v="0"/>
  </r>
  <r>
    <s v="20260604_1410_master_2da3861_haiku.json"/>
    <x v="2"/>
    <s v="simple"/>
    <n v="6.73"/>
    <n v="1"/>
    <n v="6973"/>
    <n v="73"/>
    <n v="5"/>
    <n v="5"/>
    <n v="20260604"/>
    <n v="1410"/>
    <x v="0"/>
    <x v="0"/>
    <x v="0"/>
  </r>
  <r>
    <s v="20260604_1410_master_2da3861_haiku.json"/>
    <x v="3"/>
    <s v="medium"/>
    <n v="11.39"/>
    <n v="2"/>
    <n v="6704"/>
    <n v="275"/>
    <n v="4"/>
    <n v="2"/>
    <n v="20260604"/>
    <n v="1410"/>
    <x v="0"/>
    <x v="0"/>
    <x v="0"/>
  </r>
  <r>
    <s v="20260604_1410_master_2da3861_haiku.json"/>
    <x v="4"/>
    <s v="medium"/>
    <n v="10.55"/>
    <n v="1"/>
    <n v="7557"/>
    <n v="72"/>
    <n v="5"/>
    <n v="4"/>
    <n v="20260604"/>
    <n v="1410"/>
    <x v="0"/>
    <x v="0"/>
    <x v="0"/>
  </r>
  <r>
    <s v="20260604_1410_master_2da3861_haiku.json"/>
    <x v="5"/>
    <s v="medium"/>
    <n v="7.69"/>
    <n v="1"/>
    <n v="7530"/>
    <n v="128"/>
    <n v="5"/>
    <n v="5"/>
    <n v="20260604"/>
    <n v="1410"/>
    <x v="0"/>
    <x v="0"/>
    <x v="0"/>
  </r>
  <r>
    <s v="20260604_1410_master_2da3861_haiku.json"/>
    <x v="6"/>
    <s v="complex"/>
    <n v="7.86"/>
    <n v="1"/>
    <n v="6915"/>
    <n v="208"/>
    <n v="4"/>
    <n v="2"/>
    <n v="20260604"/>
    <n v="1410"/>
    <x v="0"/>
    <x v="0"/>
    <x v="0"/>
  </r>
  <r>
    <s v="20260604_1410_master_2da3861_haiku.json"/>
    <x v="7"/>
    <s v="medium"/>
    <n v="7.35"/>
    <n v="1"/>
    <n v="6983"/>
    <n v="108"/>
    <n v="5"/>
    <n v="4"/>
    <n v="20260604"/>
    <n v="1410"/>
    <x v="0"/>
    <x v="0"/>
    <x v="0"/>
  </r>
  <r>
    <s v="20260604_1410_master_2da3861_haiku.json"/>
    <x v="8"/>
    <s v="complex"/>
    <n v="13.91"/>
    <n v="2"/>
    <n v="7338"/>
    <n v="350"/>
    <n v="4"/>
    <n v="2"/>
    <n v="20260604"/>
    <n v="1410"/>
    <x v="0"/>
    <x v="0"/>
    <x v="0"/>
  </r>
  <r>
    <s v="20260604_1410_master_2da3861_haiku.json"/>
    <x v="9"/>
    <s v="complex"/>
    <n v="14.36"/>
    <n v="2"/>
    <n v="10634"/>
    <n v="587"/>
    <n v="5"/>
    <n v="4"/>
    <n v="20260604"/>
    <n v="1410"/>
    <x v="0"/>
    <x v="0"/>
    <x v="0"/>
  </r>
  <r>
    <s v="20260604_1508_claude-backend-rest-api-check-RYSua_9b45cb2_haiku.json"/>
    <x v="0"/>
    <s v="simple"/>
    <n v="7.16"/>
    <n v="2"/>
    <n v="8295"/>
    <n v="215"/>
    <n v="5"/>
    <n v="5"/>
    <n v="20260604"/>
    <n v="1508"/>
    <x v="1"/>
    <x v="1"/>
    <x v="0"/>
  </r>
  <r>
    <s v="20260604_1508_claude-backend-rest-api-check-RYSua_9b45cb2_haiku.json"/>
    <x v="1"/>
    <s v="simple"/>
    <n v="9.68"/>
    <n v="2"/>
    <n v="8523"/>
    <n v="391"/>
    <n v="4"/>
    <n v="2"/>
    <n v="20260604"/>
    <n v="1508"/>
    <x v="1"/>
    <x v="1"/>
    <x v="0"/>
  </r>
  <r>
    <s v="20260604_1508_claude-backend-rest-api-check-RYSua_9b45cb2_haiku.json"/>
    <x v="2"/>
    <s v="simple"/>
    <n v="10.35"/>
    <n v="4"/>
    <n v="14110"/>
    <n v="349"/>
    <n v="5"/>
    <n v="5"/>
    <n v="20260604"/>
    <n v="1508"/>
    <x v="1"/>
    <x v="1"/>
    <x v="0"/>
  </r>
  <r>
    <s v="20260604_1508_claude-backend-rest-api-check-RYSua_9b45cb2_haiku.json"/>
    <x v="3"/>
    <s v="medium"/>
    <n v="8.84"/>
    <n v="2"/>
    <n v="7945"/>
    <n v="312"/>
    <n v="4"/>
    <n v="2"/>
    <n v="20260604"/>
    <n v="1508"/>
    <x v="1"/>
    <x v="1"/>
    <x v="0"/>
  </r>
  <r>
    <s v="20260604_1508_claude-backend-rest-api-check-RYSua_9b45cb2_haiku.json"/>
    <x v="4"/>
    <s v="medium"/>
    <n v="7.16"/>
    <n v="2"/>
    <n v="8347"/>
    <n v="232"/>
    <n v="4"/>
    <n v="1"/>
    <n v="20260604"/>
    <n v="1508"/>
    <x v="1"/>
    <x v="1"/>
    <x v="0"/>
  </r>
  <r>
    <s v="20260604_1508_claude-backend-rest-api-check-RYSua_9b45cb2_haiku.json"/>
    <x v="5"/>
    <s v="medium"/>
    <n v="11.94"/>
    <n v="4"/>
    <n v="13755"/>
    <n v="504"/>
    <n v="2"/>
    <n v="2"/>
    <n v="20260604"/>
    <n v="1508"/>
    <x v="1"/>
    <x v="1"/>
    <x v="0"/>
  </r>
  <r>
    <s v="20260604_1508_claude-backend-rest-api-check-RYSua_9b45cb2_haiku.json"/>
    <x v="6"/>
    <s v="complex"/>
    <n v="43.07"/>
    <n v="7"/>
    <n v="24329"/>
    <n v="1575"/>
    <n v="2"/>
    <n v="2"/>
    <n v="20260604"/>
    <n v="1508"/>
    <x v="1"/>
    <x v="1"/>
    <x v="0"/>
  </r>
  <r>
    <s v="20260604_1508_claude-backend-rest-api-check-RYSua_9b45cb2_haiku.json"/>
    <x v="7"/>
    <s v="medium"/>
    <n v="17.89"/>
    <n v="2"/>
    <n v="7913"/>
    <n v="213"/>
    <n v="5"/>
    <n v="5"/>
    <n v="20260604"/>
    <n v="1508"/>
    <x v="1"/>
    <x v="1"/>
    <x v="0"/>
  </r>
  <r>
    <s v="20260604_1508_claude-backend-rest-api-check-RYSua_9b45cb2_haiku.json"/>
    <x v="8"/>
    <s v="complex"/>
    <n v="20.440000000000001"/>
    <n v="5"/>
    <n v="12037"/>
    <n v="638"/>
    <n v="4"/>
    <n v="5"/>
    <n v="20260604"/>
    <n v="1508"/>
    <x v="1"/>
    <x v="1"/>
    <x v="0"/>
  </r>
  <r>
    <s v="20260604_1508_claude-backend-rest-api-check-RYSua_9b45cb2_haiku.json"/>
    <x v="9"/>
    <s v="complex"/>
    <n v="35.979999999999997"/>
    <n v="5"/>
    <n v="19370"/>
    <n v="1224"/>
    <n v="5"/>
    <n v="5"/>
    <n v="20260604"/>
    <n v="1508"/>
    <x v="1"/>
    <x v="1"/>
    <x v="0"/>
  </r>
  <r>
    <s v="20260604_1522_master_369088d_haiku.json"/>
    <x v="0"/>
    <s v="simple"/>
    <n v="11.97"/>
    <n v="2"/>
    <n v="8739"/>
    <n v="137"/>
    <n v="5"/>
    <n v="5"/>
    <n v="20260604"/>
    <n v="1522"/>
    <x v="0"/>
    <x v="2"/>
    <x v="0"/>
  </r>
  <r>
    <s v="20260604_1522_master_369088d_haiku.json"/>
    <x v="1"/>
    <s v="simple"/>
    <n v="7.97"/>
    <n v="1"/>
    <n v="7676"/>
    <n v="234"/>
    <n v="4"/>
    <n v="4"/>
    <n v="20260604"/>
    <n v="1522"/>
    <x v="0"/>
    <x v="2"/>
    <x v="0"/>
  </r>
  <r>
    <s v="20260604_1522_master_369088d_haiku.json"/>
    <x v="2"/>
    <s v="simple"/>
    <n v="6.23"/>
    <n v="1"/>
    <n v="7179"/>
    <n v="74"/>
    <n v="5"/>
    <n v="5"/>
    <n v="20260604"/>
    <n v="1522"/>
    <x v="0"/>
    <x v="2"/>
    <x v="0"/>
  </r>
  <r>
    <s v="20260604_1522_master_369088d_haiku.json"/>
    <x v="3"/>
    <s v="medium"/>
    <n v="11.54"/>
    <n v="2"/>
    <n v="6924"/>
    <n v="261"/>
    <n v="4"/>
    <n v="3"/>
    <n v="20260604"/>
    <n v="1522"/>
    <x v="0"/>
    <x v="2"/>
    <x v="0"/>
  </r>
  <r>
    <s v="20260604_1522_master_369088d_haiku.json"/>
    <x v="4"/>
    <s v="medium"/>
    <n v="6.74"/>
    <n v="1"/>
    <n v="7763"/>
    <n v="81"/>
    <n v="5"/>
    <n v="5"/>
    <n v="20260604"/>
    <n v="1522"/>
    <x v="0"/>
    <x v="2"/>
    <x v="0"/>
  </r>
  <r>
    <s v="20260604_1522_master_369088d_haiku.json"/>
    <x v="5"/>
    <s v="medium"/>
    <n v="8.1999999999999993"/>
    <n v="1"/>
    <n v="7750"/>
    <n v="153"/>
    <n v="5"/>
    <n v="5"/>
    <n v="20260604"/>
    <n v="1522"/>
    <x v="0"/>
    <x v="2"/>
    <x v="0"/>
  </r>
  <r>
    <s v="20260604_1522_master_369088d_haiku.json"/>
    <x v="6"/>
    <s v="complex"/>
    <n v="10.48"/>
    <n v="1"/>
    <n v="7095"/>
    <n v="201"/>
    <n v="4"/>
    <n v="2"/>
    <n v="20260604"/>
    <n v="1522"/>
    <x v="0"/>
    <x v="2"/>
    <x v="0"/>
  </r>
  <r>
    <s v="20260604_1522_master_369088d_haiku.json"/>
    <x v="7"/>
    <s v="medium"/>
    <n v="6.3"/>
    <n v="1"/>
    <n v="7189"/>
    <n v="108"/>
    <n v="4"/>
    <n v="2"/>
    <n v="20260604"/>
    <n v="1522"/>
    <x v="0"/>
    <x v="2"/>
    <x v="0"/>
  </r>
  <r>
    <s v="20260604_1522_master_369088d_haiku.json"/>
    <x v="8"/>
    <s v="complex"/>
    <n v="13.81"/>
    <n v="2"/>
    <n v="7600"/>
    <n v="396"/>
    <n v="5"/>
    <n v="4"/>
    <n v="20260604"/>
    <n v="1522"/>
    <x v="0"/>
    <x v="2"/>
    <x v="0"/>
  </r>
  <r>
    <s v="20260604_1522_master_369088d_haiku.json"/>
    <x v="9"/>
    <s v="complex"/>
    <n v="12.07"/>
    <n v="1"/>
    <n v="10655"/>
    <n v="520"/>
    <n v="4"/>
    <n v="2"/>
    <n v="20260604"/>
    <n v="1522"/>
    <x v="0"/>
    <x v="2"/>
    <x v="0"/>
  </r>
  <r>
    <s v="20260604_1527_master_369088d_sonnet.json"/>
    <x v="0"/>
    <s v="simple"/>
    <n v="13.28"/>
    <n v="2"/>
    <n v="8739"/>
    <n v="137"/>
    <n v="5"/>
    <n v="5"/>
    <n v="20260604"/>
    <n v="1527"/>
    <x v="0"/>
    <x v="2"/>
    <x v="1"/>
  </r>
  <r>
    <s v="20260604_1527_master_369088d_sonnet.json"/>
    <x v="1"/>
    <s v="simple"/>
    <n v="7.93"/>
    <n v="1"/>
    <n v="7676"/>
    <n v="236"/>
    <n v="4"/>
    <n v="4"/>
    <n v="20260604"/>
    <n v="1527"/>
    <x v="0"/>
    <x v="2"/>
    <x v="1"/>
  </r>
  <r>
    <s v="20260604_1527_master_369088d_sonnet.json"/>
    <x v="2"/>
    <s v="simple"/>
    <n v="9.26"/>
    <n v="1"/>
    <n v="7179"/>
    <n v="73"/>
    <n v="4"/>
    <n v="5"/>
    <n v="20260604"/>
    <n v="1527"/>
    <x v="0"/>
    <x v="2"/>
    <x v="1"/>
  </r>
  <r>
    <s v="20260604_1527_master_369088d_sonnet.json"/>
    <x v="3"/>
    <s v="medium"/>
    <n v="10.42"/>
    <n v="2"/>
    <n v="6910"/>
    <n v="243"/>
    <n v="4"/>
    <n v="3"/>
    <n v="20260604"/>
    <n v="1527"/>
    <x v="0"/>
    <x v="2"/>
    <x v="1"/>
  </r>
  <r>
    <s v="20260604_1527_master_369088d_sonnet.json"/>
    <x v="4"/>
    <s v="medium"/>
    <n v="6.07"/>
    <n v="1"/>
    <n v="7763"/>
    <n v="79"/>
    <n v="4"/>
    <n v="5"/>
    <n v="20260604"/>
    <n v="1527"/>
    <x v="0"/>
    <x v="2"/>
    <x v="1"/>
  </r>
  <r>
    <s v="20260604_1527_master_369088d_sonnet.json"/>
    <x v="5"/>
    <s v="medium"/>
    <n v="7.35"/>
    <n v="1"/>
    <n v="7736"/>
    <n v="129"/>
    <n v="5"/>
    <n v="5"/>
    <n v="20260604"/>
    <n v="1527"/>
    <x v="0"/>
    <x v="2"/>
    <x v="1"/>
  </r>
  <r>
    <s v="20260604_1527_master_369088d_sonnet.json"/>
    <x v="6"/>
    <s v="complex"/>
    <n v="7.61"/>
    <n v="1"/>
    <n v="7114"/>
    <n v="183"/>
    <n v="4"/>
    <n v="5"/>
    <n v="20260604"/>
    <n v="1527"/>
    <x v="0"/>
    <x v="2"/>
    <x v="1"/>
  </r>
  <r>
    <s v="20260604_1527_master_369088d_sonnet.json"/>
    <x v="7"/>
    <s v="medium"/>
    <n v="6.6"/>
    <n v="1"/>
    <n v="7189"/>
    <n v="101"/>
    <n v="5"/>
    <n v="5"/>
    <n v="20260604"/>
    <n v="1527"/>
    <x v="0"/>
    <x v="2"/>
    <x v="1"/>
  </r>
  <r>
    <s v="20260604_1527_master_369088d_sonnet.json"/>
    <x v="8"/>
    <s v="complex"/>
    <n v="14.1"/>
    <n v="2"/>
    <n v="7600"/>
    <n v="448"/>
    <n v="4"/>
    <n v="5"/>
    <n v="20260604"/>
    <n v="1527"/>
    <x v="0"/>
    <x v="2"/>
    <x v="1"/>
  </r>
  <r>
    <s v="20260604_1527_master_369088d_sonnet.json"/>
    <x v="9"/>
    <s v="complex"/>
    <n v="11.99"/>
    <n v="1"/>
    <n v="10655"/>
    <n v="456"/>
    <n v="4"/>
    <n v="3"/>
    <n v="20260604"/>
    <n v="1527"/>
    <x v="0"/>
    <x v="2"/>
    <x v="1"/>
  </r>
  <r>
    <s v="20260604_1538_claude-backend-rest-api-check-RYSua_0e64557_sonnet.json"/>
    <x v="0"/>
    <s v="simple"/>
    <n v="6.81"/>
    <n v="2"/>
    <n v="8251"/>
    <n v="197"/>
    <n v="4"/>
    <n v="5"/>
    <n v="20260604"/>
    <n v="1538"/>
    <x v="1"/>
    <x v="3"/>
    <x v="1"/>
  </r>
  <r>
    <s v="20260604_1538_claude-backend-rest-api-check-RYSua_0e64557_sonnet.json"/>
    <x v="1"/>
    <s v="simple"/>
    <n v="8.82"/>
    <n v="2"/>
    <n v="8523"/>
    <n v="401"/>
    <n v="4"/>
    <n v="5"/>
    <n v="20260604"/>
    <n v="1538"/>
    <x v="1"/>
    <x v="3"/>
    <x v="1"/>
  </r>
  <r>
    <s v="20260604_1538_claude-backend-rest-api-check-RYSua_0e64557_sonnet.json"/>
    <x v="2"/>
    <s v="simple"/>
    <n v="9.92"/>
    <n v="3"/>
    <n v="10864"/>
    <n v="263"/>
    <n v="3"/>
    <n v="5"/>
    <n v="20260604"/>
    <n v="1538"/>
    <x v="1"/>
    <x v="3"/>
    <x v="1"/>
  </r>
  <r>
    <s v="20260604_1538_claude-backend-rest-api-check-RYSua_0e64557_sonnet.json"/>
    <x v="3"/>
    <s v="medium"/>
    <n v="9.42"/>
    <n v="2"/>
    <n v="7958"/>
    <n v="324"/>
    <n v="4"/>
    <n v="2"/>
    <n v="20260604"/>
    <n v="1538"/>
    <x v="1"/>
    <x v="3"/>
    <x v="1"/>
  </r>
  <r>
    <s v="20260604_1538_claude-backend-rest-api-check-RYSua_0e64557_sonnet.json"/>
    <x v="4"/>
    <s v="medium"/>
    <n v="7.18"/>
    <n v="2"/>
    <n v="8347"/>
    <n v="226"/>
    <n v="3"/>
    <n v="2"/>
    <n v="20260604"/>
    <n v="1538"/>
    <x v="1"/>
    <x v="3"/>
    <x v="1"/>
  </r>
  <r>
    <s v="20260604_1538_claude-backend-rest-api-check-RYSua_0e64557_sonnet.json"/>
    <x v="5"/>
    <s v="medium"/>
    <n v="12.69"/>
    <n v="4"/>
    <n v="13755"/>
    <n v="485"/>
    <n v="5"/>
    <n v="5"/>
    <n v="20260604"/>
    <n v="1538"/>
    <x v="1"/>
    <x v="3"/>
    <x v="1"/>
  </r>
  <r>
    <s v="20260604_1538_claude-backend-rest-api-check-RYSua_0e64557_sonnet.json"/>
    <x v="6"/>
    <s v="complex"/>
    <n v="31.77"/>
    <n v="6"/>
    <n v="26201"/>
    <n v="1404"/>
    <n v="3"/>
    <n v="4"/>
    <n v="20260604"/>
    <n v="1538"/>
    <x v="1"/>
    <x v="3"/>
    <x v="1"/>
  </r>
  <r>
    <s v="20260604_1538_claude-backend-rest-api-check-RYSua_0e64557_sonnet.json"/>
    <x v="7"/>
    <s v="medium"/>
    <n v="11.7"/>
    <n v="2"/>
    <n v="7913"/>
    <n v="213"/>
    <n v="4"/>
    <n v="5"/>
    <n v="20260604"/>
    <n v="1538"/>
    <x v="1"/>
    <x v="3"/>
    <x v="1"/>
  </r>
  <r>
    <s v="20260604_1538_claude-backend-rest-api-check-RYSua_0e64557_sonnet.json"/>
    <x v="8"/>
    <s v="complex"/>
    <n v="20.77"/>
    <n v="4"/>
    <n v="11408"/>
    <n v="612"/>
    <n v="4"/>
    <n v="5"/>
    <n v="20260604"/>
    <n v="1538"/>
    <x v="1"/>
    <x v="3"/>
    <x v="1"/>
  </r>
  <r>
    <s v="20260604_1538_claude-backend-rest-api-check-RYSua_0e64557_sonnet.json"/>
    <x v="9"/>
    <s v="complex"/>
    <n v="45.91"/>
    <n v="6"/>
    <n v="24194"/>
    <n v="1183"/>
    <n v="3"/>
    <n v="3"/>
    <n v="20260604"/>
    <n v="1538"/>
    <x v="1"/>
    <x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368A7A-39E3-4E55-8445-6C6D9C921E70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:Q15" firstHeaderRow="0" firstDataRow="1" firstDataCol="1" rowPageCount="2" colPageCount="1"/>
  <pivotFields count="14"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1" item="0" hier="-1"/>
    <pageField fld="13" item="1" hier="-1"/>
  </pageFields>
  <dataFields count="6">
    <dataField name="Average of latency_s" fld="3" subtotal="average" baseField="1" baseItem="0"/>
    <dataField name="Sum of tool_call_count" fld="4" baseField="0" baseItem="0"/>
    <dataField name="Sum of input_tokens" fld="5" baseField="0" baseItem="0" numFmtId="167"/>
    <dataField name="Sum of output_tokens" fld="6" baseField="0" baseItem="0" numFmtId="167"/>
    <dataField name="Average of quality_score" fld="7" subtotal="average" baseField="1" baseItem="0"/>
    <dataField name="Average of accuracy_judge_score" fld="8" subtotal="average" baseField="1" baseItem="0"/>
  </dataFields>
  <formats count="1">
    <format dxfId="5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638C57-8DB6-4E77-95F1-38A2D6565B08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H15" firstHeaderRow="0" firstDataRow="1" firstDataCol="1" rowPageCount="2" colPageCount="1"/>
  <pivotFields count="14"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axis="axisPage" showAll="0">
      <items count="3">
        <item x="0"/>
        <item x="1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1" item="1" hier="-1"/>
    <pageField fld="13" item="1" hier="-1"/>
  </pageFields>
  <dataFields count="6">
    <dataField name="Average of latency_s" fld="3" subtotal="average" baseField="1" baseItem="0"/>
    <dataField name="Sum of tool_call_count" fld="4" baseField="0" baseItem="0"/>
    <dataField name="Sum of input_tokens" fld="5" baseField="0" baseItem="0" numFmtId="167"/>
    <dataField name="Sum of output_tokens" fld="6" baseField="0" baseItem="0" numFmtId="167"/>
    <dataField name="Average of quality_score" fld="7" subtotal="average" baseField="1" baseItem="0"/>
    <dataField name="Average of accuracy_judge_score" fld="8" subtotal="average" baseField="1" baseItem="0"/>
  </dataFields>
  <formats count="1">
    <format dxfId="7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E27C-3F8E-45A6-911F-47DD69A58FE3}">
  <dimension ref="A1:N51"/>
  <sheetViews>
    <sheetView workbookViewId="0">
      <selection sqref="A1:N51"/>
    </sheetView>
  </sheetViews>
  <sheetFormatPr defaultRowHeight="14.5" x14ac:dyDescent="0.35"/>
  <cols>
    <col min="1" max="1" width="14.089843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27</v>
      </c>
      <c r="K1" t="s">
        <v>28</v>
      </c>
      <c r="L1" t="s">
        <v>29</v>
      </c>
      <c r="M1" t="s">
        <v>36</v>
      </c>
      <c r="N1" t="s">
        <v>37</v>
      </c>
    </row>
    <row r="2" spans="1:14" x14ac:dyDescent="0.35">
      <c r="A2" t="s">
        <v>9</v>
      </c>
      <c r="B2" t="s">
        <v>10</v>
      </c>
      <c r="C2" t="s">
        <v>11</v>
      </c>
      <c r="D2">
        <v>11.1</v>
      </c>
      <c r="E2">
        <v>2</v>
      </c>
      <c r="F2">
        <v>8533</v>
      </c>
      <c r="G2">
        <v>137</v>
      </c>
      <c r="H2">
        <v>5</v>
      </c>
      <c r="I2">
        <v>4</v>
      </c>
      <c r="J2">
        <v>20260604</v>
      </c>
      <c r="K2">
        <v>1410</v>
      </c>
      <c r="L2" t="s">
        <v>30</v>
      </c>
      <c r="M2" t="s">
        <v>31</v>
      </c>
      <c r="N2" t="s">
        <v>38</v>
      </c>
    </row>
    <row r="3" spans="1:14" x14ac:dyDescent="0.35">
      <c r="A3" t="s">
        <v>9</v>
      </c>
      <c r="B3" t="s">
        <v>12</v>
      </c>
      <c r="C3" t="s">
        <v>11</v>
      </c>
      <c r="D3">
        <v>8.43</v>
      </c>
      <c r="E3">
        <v>1</v>
      </c>
      <c r="F3">
        <v>7070</v>
      </c>
      <c r="G3">
        <v>263</v>
      </c>
      <c r="H3">
        <v>5</v>
      </c>
      <c r="I3">
        <v>4</v>
      </c>
      <c r="J3">
        <v>20260604</v>
      </c>
      <c r="K3">
        <v>1410</v>
      </c>
      <c r="L3" t="s">
        <v>30</v>
      </c>
      <c r="M3" t="s">
        <v>31</v>
      </c>
      <c r="N3" t="s">
        <v>38</v>
      </c>
    </row>
    <row r="4" spans="1:14" x14ac:dyDescent="0.35">
      <c r="A4" t="s">
        <v>9</v>
      </c>
      <c r="B4" t="s">
        <v>13</v>
      </c>
      <c r="C4" t="s">
        <v>11</v>
      </c>
      <c r="D4">
        <v>6.73</v>
      </c>
      <c r="E4">
        <v>1</v>
      </c>
      <c r="F4">
        <v>6973</v>
      </c>
      <c r="G4">
        <v>73</v>
      </c>
      <c r="H4">
        <v>5</v>
      </c>
      <c r="I4">
        <v>5</v>
      </c>
      <c r="J4">
        <v>20260604</v>
      </c>
      <c r="K4">
        <v>1410</v>
      </c>
      <c r="L4" t="s">
        <v>30</v>
      </c>
      <c r="M4" t="s">
        <v>31</v>
      </c>
      <c r="N4" t="s">
        <v>38</v>
      </c>
    </row>
    <row r="5" spans="1:14" x14ac:dyDescent="0.35">
      <c r="A5" t="s">
        <v>9</v>
      </c>
      <c r="B5" t="s">
        <v>14</v>
      </c>
      <c r="C5" t="s">
        <v>15</v>
      </c>
      <c r="D5">
        <v>11.39</v>
      </c>
      <c r="E5">
        <v>2</v>
      </c>
      <c r="F5">
        <v>6704</v>
      </c>
      <c r="G5">
        <v>275</v>
      </c>
      <c r="H5">
        <v>4</v>
      </c>
      <c r="I5">
        <v>2</v>
      </c>
      <c r="J5">
        <v>20260604</v>
      </c>
      <c r="K5">
        <v>1410</v>
      </c>
      <c r="L5" t="s">
        <v>30</v>
      </c>
      <c r="M5" t="s">
        <v>31</v>
      </c>
      <c r="N5" t="s">
        <v>38</v>
      </c>
    </row>
    <row r="6" spans="1:14" x14ac:dyDescent="0.35">
      <c r="A6" t="s">
        <v>9</v>
      </c>
      <c r="B6" t="s">
        <v>16</v>
      </c>
      <c r="C6" t="s">
        <v>15</v>
      </c>
      <c r="D6">
        <v>10.55</v>
      </c>
      <c r="E6">
        <v>1</v>
      </c>
      <c r="F6">
        <v>7557</v>
      </c>
      <c r="G6">
        <v>72</v>
      </c>
      <c r="H6">
        <v>5</v>
      </c>
      <c r="I6">
        <v>4</v>
      </c>
      <c r="J6">
        <v>20260604</v>
      </c>
      <c r="K6">
        <v>1410</v>
      </c>
      <c r="L6" t="s">
        <v>30</v>
      </c>
      <c r="M6" t="s">
        <v>31</v>
      </c>
      <c r="N6" t="s">
        <v>38</v>
      </c>
    </row>
    <row r="7" spans="1:14" x14ac:dyDescent="0.35">
      <c r="A7" t="s">
        <v>9</v>
      </c>
      <c r="B7" t="s">
        <v>17</v>
      </c>
      <c r="C7" t="s">
        <v>15</v>
      </c>
      <c r="D7">
        <v>7.69</v>
      </c>
      <c r="E7">
        <v>1</v>
      </c>
      <c r="F7">
        <v>7530</v>
      </c>
      <c r="G7">
        <v>128</v>
      </c>
      <c r="H7">
        <v>5</v>
      </c>
      <c r="I7">
        <v>5</v>
      </c>
      <c r="J7">
        <v>20260604</v>
      </c>
      <c r="K7">
        <v>1410</v>
      </c>
      <c r="L7" t="s">
        <v>30</v>
      </c>
      <c r="M7" t="s">
        <v>31</v>
      </c>
      <c r="N7" t="s">
        <v>38</v>
      </c>
    </row>
    <row r="8" spans="1:14" x14ac:dyDescent="0.35">
      <c r="A8" t="s">
        <v>9</v>
      </c>
      <c r="B8" t="s">
        <v>18</v>
      </c>
      <c r="C8" t="s">
        <v>19</v>
      </c>
      <c r="D8">
        <v>7.86</v>
      </c>
      <c r="E8">
        <v>1</v>
      </c>
      <c r="F8">
        <v>6915</v>
      </c>
      <c r="G8">
        <v>208</v>
      </c>
      <c r="H8">
        <v>4</v>
      </c>
      <c r="I8">
        <v>2</v>
      </c>
      <c r="J8">
        <v>20260604</v>
      </c>
      <c r="K8">
        <v>1410</v>
      </c>
      <c r="L8" t="s">
        <v>30</v>
      </c>
      <c r="M8" t="s">
        <v>31</v>
      </c>
      <c r="N8" t="s">
        <v>38</v>
      </c>
    </row>
    <row r="9" spans="1:14" x14ac:dyDescent="0.35">
      <c r="A9" t="s">
        <v>9</v>
      </c>
      <c r="B9" t="s">
        <v>20</v>
      </c>
      <c r="C9" t="s">
        <v>15</v>
      </c>
      <c r="D9">
        <v>7.35</v>
      </c>
      <c r="E9">
        <v>1</v>
      </c>
      <c r="F9">
        <v>6983</v>
      </c>
      <c r="G9">
        <v>108</v>
      </c>
      <c r="H9">
        <v>5</v>
      </c>
      <c r="I9">
        <v>4</v>
      </c>
      <c r="J9">
        <v>20260604</v>
      </c>
      <c r="K9">
        <v>1410</v>
      </c>
      <c r="L9" t="s">
        <v>30</v>
      </c>
      <c r="M9" t="s">
        <v>31</v>
      </c>
      <c r="N9" t="s">
        <v>38</v>
      </c>
    </row>
    <row r="10" spans="1:14" x14ac:dyDescent="0.35">
      <c r="A10" t="s">
        <v>9</v>
      </c>
      <c r="B10" t="s">
        <v>21</v>
      </c>
      <c r="C10" t="s">
        <v>19</v>
      </c>
      <c r="D10">
        <v>13.91</v>
      </c>
      <c r="E10">
        <v>2</v>
      </c>
      <c r="F10">
        <v>7338</v>
      </c>
      <c r="G10">
        <v>350</v>
      </c>
      <c r="H10">
        <v>4</v>
      </c>
      <c r="I10">
        <v>2</v>
      </c>
      <c r="J10">
        <v>20260604</v>
      </c>
      <c r="K10">
        <v>1410</v>
      </c>
      <c r="L10" t="s">
        <v>30</v>
      </c>
      <c r="M10" t="s">
        <v>31</v>
      </c>
      <c r="N10" t="s">
        <v>38</v>
      </c>
    </row>
    <row r="11" spans="1:14" x14ac:dyDescent="0.35">
      <c r="A11" t="s">
        <v>9</v>
      </c>
      <c r="B11" t="s">
        <v>22</v>
      </c>
      <c r="C11" t="s">
        <v>19</v>
      </c>
      <c r="D11">
        <v>14.36</v>
      </c>
      <c r="E11">
        <v>2</v>
      </c>
      <c r="F11">
        <v>10634</v>
      </c>
      <c r="G11">
        <v>587</v>
      </c>
      <c r="H11">
        <v>5</v>
      </c>
      <c r="I11">
        <v>4</v>
      </c>
      <c r="J11">
        <v>20260604</v>
      </c>
      <c r="K11">
        <v>1410</v>
      </c>
      <c r="L11" t="s">
        <v>30</v>
      </c>
      <c r="M11" t="s">
        <v>31</v>
      </c>
      <c r="N11" t="s">
        <v>38</v>
      </c>
    </row>
    <row r="12" spans="1:14" x14ac:dyDescent="0.35">
      <c r="A12" t="s">
        <v>23</v>
      </c>
      <c r="B12" t="s">
        <v>10</v>
      </c>
      <c r="C12" t="s">
        <v>11</v>
      </c>
      <c r="D12">
        <v>7.16</v>
      </c>
      <c r="E12">
        <v>2</v>
      </c>
      <c r="F12">
        <v>8295</v>
      </c>
      <c r="G12">
        <v>215</v>
      </c>
      <c r="H12">
        <v>5</v>
      </c>
      <c r="I12">
        <v>5</v>
      </c>
      <c r="J12">
        <v>20260604</v>
      </c>
      <c r="K12">
        <v>1508</v>
      </c>
      <c r="L12" t="s">
        <v>32</v>
      </c>
      <c r="M12" t="s">
        <v>33</v>
      </c>
      <c r="N12" t="s">
        <v>38</v>
      </c>
    </row>
    <row r="13" spans="1:14" x14ac:dyDescent="0.35">
      <c r="A13" t="s">
        <v>23</v>
      </c>
      <c r="B13" t="s">
        <v>12</v>
      </c>
      <c r="C13" t="s">
        <v>11</v>
      </c>
      <c r="D13">
        <v>9.68</v>
      </c>
      <c r="E13">
        <v>2</v>
      </c>
      <c r="F13">
        <v>8523</v>
      </c>
      <c r="G13">
        <v>391</v>
      </c>
      <c r="H13">
        <v>4</v>
      </c>
      <c r="I13">
        <v>2</v>
      </c>
      <c r="J13">
        <v>20260604</v>
      </c>
      <c r="K13">
        <v>1508</v>
      </c>
      <c r="L13" t="s">
        <v>32</v>
      </c>
      <c r="M13" t="s">
        <v>33</v>
      </c>
      <c r="N13" t="s">
        <v>38</v>
      </c>
    </row>
    <row r="14" spans="1:14" x14ac:dyDescent="0.35">
      <c r="A14" t="s">
        <v>23</v>
      </c>
      <c r="B14" t="s">
        <v>13</v>
      </c>
      <c r="C14" t="s">
        <v>11</v>
      </c>
      <c r="D14">
        <v>10.35</v>
      </c>
      <c r="E14">
        <v>4</v>
      </c>
      <c r="F14">
        <v>14110</v>
      </c>
      <c r="G14">
        <v>349</v>
      </c>
      <c r="H14">
        <v>5</v>
      </c>
      <c r="I14">
        <v>5</v>
      </c>
      <c r="J14">
        <v>20260604</v>
      </c>
      <c r="K14">
        <v>1508</v>
      </c>
      <c r="L14" t="s">
        <v>32</v>
      </c>
      <c r="M14" t="s">
        <v>33</v>
      </c>
      <c r="N14" t="s">
        <v>38</v>
      </c>
    </row>
    <row r="15" spans="1:14" x14ac:dyDescent="0.35">
      <c r="A15" t="s">
        <v>23</v>
      </c>
      <c r="B15" t="s">
        <v>14</v>
      </c>
      <c r="C15" t="s">
        <v>15</v>
      </c>
      <c r="D15">
        <v>8.84</v>
      </c>
      <c r="E15">
        <v>2</v>
      </c>
      <c r="F15">
        <v>7945</v>
      </c>
      <c r="G15">
        <v>312</v>
      </c>
      <c r="H15">
        <v>4</v>
      </c>
      <c r="I15">
        <v>2</v>
      </c>
      <c r="J15">
        <v>20260604</v>
      </c>
      <c r="K15">
        <v>1508</v>
      </c>
      <c r="L15" t="s">
        <v>32</v>
      </c>
      <c r="M15" t="s">
        <v>33</v>
      </c>
      <c r="N15" t="s">
        <v>38</v>
      </c>
    </row>
    <row r="16" spans="1:14" x14ac:dyDescent="0.35">
      <c r="A16" t="s">
        <v>23</v>
      </c>
      <c r="B16" t="s">
        <v>16</v>
      </c>
      <c r="C16" t="s">
        <v>15</v>
      </c>
      <c r="D16">
        <v>7.16</v>
      </c>
      <c r="E16">
        <v>2</v>
      </c>
      <c r="F16">
        <v>8347</v>
      </c>
      <c r="G16">
        <v>232</v>
      </c>
      <c r="H16">
        <v>4</v>
      </c>
      <c r="I16">
        <v>1</v>
      </c>
      <c r="J16">
        <v>20260604</v>
      </c>
      <c r="K16">
        <v>1508</v>
      </c>
      <c r="L16" t="s">
        <v>32</v>
      </c>
      <c r="M16" t="s">
        <v>33</v>
      </c>
      <c r="N16" t="s">
        <v>38</v>
      </c>
    </row>
    <row r="17" spans="1:14" x14ac:dyDescent="0.35">
      <c r="A17" t="s">
        <v>23</v>
      </c>
      <c r="B17" t="s">
        <v>17</v>
      </c>
      <c r="C17" t="s">
        <v>15</v>
      </c>
      <c r="D17">
        <v>11.94</v>
      </c>
      <c r="E17">
        <v>4</v>
      </c>
      <c r="F17">
        <v>13755</v>
      </c>
      <c r="G17">
        <v>504</v>
      </c>
      <c r="H17">
        <v>2</v>
      </c>
      <c r="I17">
        <v>2</v>
      </c>
      <c r="J17">
        <v>20260604</v>
      </c>
      <c r="K17">
        <v>1508</v>
      </c>
      <c r="L17" t="s">
        <v>32</v>
      </c>
      <c r="M17" t="s">
        <v>33</v>
      </c>
      <c r="N17" t="s">
        <v>38</v>
      </c>
    </row>
    <row r="18" spans="1:14" x14ac:dyDescent="0.35">
      <c r="A18" t="s">
        <v>23</v>
      </c>
      <c r="B18" t="s">
        <v>18</v>
      </c>
      <c r="C18" t="s">
        <v>19</v>
      </c>
      <c r="D18">
        <v>43.07</v>
      </c>
      <c r="E18">
        <v>7</v>
      </c>
      <c r="F18">
        <v>24329</v>
      </c>
      <c r="G18">
        <v>1575</v>
      </c>
      <c r="H18">
        <v>2</v>
      </c>
      <c r="I18">
        <v>2</v>
      </c>
      <c r="J18">
        <v>20260604</v>
      </c>
      <c r="K18">
        <v>1508</v>
      </c>
      <c r="L18" t="s">
        <v>32</v>
      </c>
      <c r="M18" t="s">
        <v>33</v>
      </c>
      <c r="N18" t="s">
        <v>38</v>
      </c>
    </row>
    <row r="19" spans="1:14" x14ac:dyDescent="0.35">
      <c r="A19" t="s">
        <v>23</v>
      </c>
      <c r="B19" t="s">
        <v>20</v>
      </c>
      <c r="C19" t="s">
        <v>15</v>
      </c>
      <c r="D19">
        <v>17.89</v>
      </c>
      <c r="E19">
        <v>2</v>
      </c>
      <c r="F19">
        <v>7913</v>
      </c>
      <c r="G19">
        <v>213</v>
      </c>
      <c r="H19">
        <v>5</v>
      </c>
      <c r="I19">
        <v>5</v>
      </c>
      <c r="J19">
        <v>20260604</v>
      </c>
      <c r="K19">
        <v>1508</v>
      </c>
      <c r="L19" t="s">
        <v>32</v>
      </c>
      <c r="M19" t="s">
        <v>33</v>
      </c>
      <c r="N19" t="s">
        <v>38</v>
      </c>
    </row>
    <row r="20" spans="1:14" x14ac:dyDescent="0.35">
      <c r="A20" t="s">
        <v>23</v>
      </c>
      <c r="B20" t="s">
        <v>21</v>
      </c>
      <c r="C20" t="s">
        <v>19</v>
      </c>
      <c r="D20">
        <v>20.440000000000001</v>
      </c>
      <c r="E20">
        <v>5</v>
      </c>
      <c r="F20">
        <v>12037</v>
      </c>
      <c r="G20">
        <v>638</v>
      </c>
      <c r="H20">
        <v>4</v>
      </c>
      <c r="I20">
        <v>5</v>
      </c>
      <c r="J20">
        <v>20260604</v>
      </c>
      <c r="K20">
        <v>1508</v>
      </c>
      <c r="L20" t="s">
        <v>32</v>
      </c>
      <c r="M20" t="s">
        <v>33</v>
      </c>
      <c r="N20" t="s">
        <v>38</v>
      </c>
    </row>
    <row r="21" spans="1:14" x14ac:dyDescent="0.35">
      <c r="A21" t="s">
        <v>23</v>
      </c>
      <c r="B21" t="s">
        <v>22</v>
      </c>
      <c r="C21" t="s">
        <v>19</v>
      </c>
      <c r="D21">
        <v>35.979999999999997</v>
      </c>
      <c r="E21">
        <v>5</v>
      </c>
      <c r="F21">
        <v>19370</v>
      </c>
      <c r="G21">
        <v>1224</v>
      </c>
      <c r="H21">
        <v>5</v>
      </c>
      <c r="I21">
        <v>5</v>
      </c>
      <c r="J21">
        <v>20260604</v>
      </c>
      <c r="K21">
        <v>1508</v>
      </c>
      <c r="L21" t="s">
        <v>32</v>
      </c>
      <c r="M21" t="s">
        <v>33</v>
      </c>
      <c r="N21" t="s">
        <v>38</v>
      </c>
    </row>
    <row r="22" spans="1:14" x14ac:dyDescent="0.35">
      <c r="A22" t="s">
        <v>24</v>
      </c>
      <c r="B22" t="s">
        <v>10</v>
      </c>
      <c r="C22" t="s">
        <v>11</v>
      </c>
      <c r="D22">
        <v>11.97</v>
      </c>
      <c r="E22">
        <v>2</v>
      </c>
      <c r="F22">
        <v>8739</v>
      </c>
      <c r="G22">
        <v>137</v>
      </c>
      <c r="H22">
        <v>5</v>
      </c>
      <c r="I22">
        <v>5</v>
      </c>
      <c r="J22">
        <v>20260604</v>
      </c>
      <c r="K22">
        <v>1522</v>
      </c>
      <c r="L22" t="s">
        <v>30</v>
      </c>
      <c r="M22" t="s">
        <v>34</v>
      </c>
      <c r="N22" t="s">
        <v>38</v>
      </c>
    </row>
    <row r="23" spans="1:14" x14ac:dyDescent="0.35">
      <c r="A23" t="s">
        <v>24</v>
      </c>
      <c r="B23" t="s">
        <v>12</v>
      </c>
      <c r="C23" t="s">
        <v>11</v>
      </c>
      <c r="D23">
        <v>7.97</v>
      </c>
      <c r="E23">
        <v>1</v>
      </c>
      <c r="F23">
        <v>7676</v>
      </c>
      <c r="G23">
        <v>234</v>
      </c>
      <c r="H23">
        <v>4</v>
      </c>
      <c r="I23">
        <v>4</v>
      </c>
      <c r="J23">
        <v>20260604</v>
      </c>
      <c r="K23">
        <v>1522</v>
      </c>
      <c r="L23" t="s">
        <v>30</v>
      </c>
      <c r="M23" t="s">
        <v>34</v>
      </c>
      <c r="N23" t="s">
        <v>38</v>
      </c>
    </row>
    <row r="24" spans="1:14" x14ac:dyDescent="0.35">
      <c r="A24" t="s">
        <v>24</v>
      </c>
      <c r="B24" t="s">
        <v>13</v>
      </c>
      <c r="C24" t="s">
        <v>11</v>
      </c>
      <c r="D24">
        <v>6.23</v>
      </c>
      <c r="E24">
        <v>1</v>
      </c>
      <c r="F24">
        <v>7179</v>
      </c>
      <c r="G24">
        <v>74</v>
      </c>
      <c r="H24">
        <v>5</v>
      </c>
      <c r="I24">
        <v>5</v>
      </c>
      <c r="J24">
        <v>20260604</v>
      </c>
      <c r="K24">
        <v>1522</v>
      </c>
      <c r="L24" t="s">
        <v>30</v>
      </c>
      <c r="M24" t="s">
        <v>34</v>
      </c>
      <c r="N24" t="s">
        <v>38</v>
      </c>
    </row>
    <row r="25" spans="1:14" x14ac:dyDescent="0.35">
      <c r="A25" t="s">
        <v>24</v>
      </c>
      <c r="B25" t="s">
        <v>14</v>
      </c>
      <c r="C25" t="s">
        <v>15</v>
      </c>
      <c r="D25">
        <v>11.54</v>
      </c>
      <c r="E25">
        <v>2</v>
      </c>
      <c r="F25">
        <v>6924</v>
      </c>
      <c r="G25">
        <v>261</v>
      </c>
      <c r="H25">
        <v>4</v>
      </c>
      <c r="I25">
        <v>3</v>
      </c>
      <c r="J25">
        <v>20260604</v>
      </c>
      <c r="K25">
        <v>1522</v>
      </c>
      <c r="L25" t="s">
        <v>30</v>
      </c>
      <c r="M25" t="s">
        <v>34</v>
      </c>
      <c r="N25" t="s">
        <v>38</v>
      </c>
    </row>
    <row r="26" spans="1:14" x14ac:dyDescent="0.35">
      <c r="A26" t="s">
        <v>24</v>
      </c>
      <c r="B26" t="s">
        <v>16</v>
      </c>
      <c r="C26" t="s">
        <v>15</v>
      </c>
      <c r="D26">
        <v>6.74</v>
      </c>
      <c r="E26">
        <v>1</v>
      </c>
      <c r="F26">
        <v>7763</v>
      </c>
      <c r="G26">
        <v>81</v>
      </c>
      <c r="H26">
        <v>5</v>
      </c>
      <c r="I26">
        <v>5</v>
      </c>
      <c r="J26">
        <v>20260604</v>
      </c>
      <c r="K26">
        <v>1522</v>
      </c>
      <c r="L26" t="s">
        <v>30</v>
      </c>
      <c r="M26" t="s">
        <v>34</v>
      </c>
      <c r="N26" t="s">
        <v>38</v>
      </c>
    </row>
    <row r="27" spans="1:14" x14ac:dyDescent="0.35">
      <c r="A27" t="s">
        <v>24</v>
      </c>
      <c r="B27" t="s">
        <v>17</v>
      </c>
      <c r="C27" t="s">
        <v>15</v>
      </c>
      <c r="D27">
        <v>8.1999999999999993</v>
      </c>
      <c r="E27">
        <v>1</v>
      </c>
      <c r="F27">
        <v>7750</v>
      </c>
      <c r="G27">
        <v>153</v>
      </c>
      <c r="H27">
        <v>5</v>
      </c>
      <c r="I27">
        <v>5</v>
      </c>
      <c r="J27">
        <v>20260604</v>
      </c>
      <c r="K27">
        <v>1522</v>
      </c>
      <c r="L27" t="s">
        <v>30</v>
      </c>
      <c r="M27" t="s">
        <v>34</v>
      </c>
      <c r="N27" t="s">
        <v>38</v>
      </c>
    </row>
    <row r="28" spans="1:14" x14ac:dyDescent="0.35">
      <c r="A28" t="s">
        <v>24</v>
      </c>
      <c r="B28" t="s">
        <v>18</v>
      </c>
      <c r="C28" t="s">
        <v>19</v>
      </c>
      <c r="D28">
        <v>10.48</v>
      </c>
      <c r="E28">
        <v>1</v>
      </c>
      <c r="F28">
        <v>7095</v>
      </c>
      <c r="G28">
        <v>201</v>
      </c>
      <c r="H28">
        <v>4</v>
      </c>
      <c r="I28">
        <v>2</v>
      </c>
      <c r="J28">
        <v>20260604</v>
      </c>
      <c r="K28">
        <v>1522</v>
      </c>
      <c r="L28" t="s">
        <v>30</v>
      </c>
      <c r="M28" t="s">
        <v>34</v>
      </c>
      <c r="N28" t="s">
        <v>38</v>
      </c>
    </row>
    <row r="29" spans="1:14" x14ac:dyDescent="0.35">
      <c r="A29" t="s">
        <v>24</v>
      </c>
      <c r="B29" t="s">
        <v>20</v>
      </c>
      <c r="C29" t="s">
        <v>15</v>
      </c>
      <c r="D29">
        <v>6.3</v>
      </c>
      <c r="E29">
        <v>1</v>
      </c>
      <c r="F29">
        <v>7189</v>
      </c>
      <c r="G29">
        <v>108</v>
      </c>
      <c r="H29">
        <v>4</v>
      </c>
      <c r="I29">
        <v>2</v>
      </c>
      <c r="J29">
        <v>20260604</v>
      </c>
      <c r="K29">
        <v>1522</v>
      </c>
      <c r="L29" t="s">
        <v>30</v>
      </c>
      <c r="M29" t="s">
        <v>34</v>
      </c>
      <c r="N29" t="s">
        <v>38</v>
      </c>
    </row>
    <row r="30" spans="1:14" x14ac:dyDescent="0.35">
      <c r="A30" t="s">
        <v>24</v>
      </c>
      <c r="B30" t="s">
        <v>21</v>
      </c>
      <c r="C30" t="s">
        <v>19</v>
      </c>
      <c r="D30">
        <v>13.81</v>
      </c>
      <c r="E30">
        <v>2</v>
      </c>
      <c r="F30">
        <v>7600</v>
      </c>
      <c r="G30">
        <v>396</v>
      </c>
      <c r="H30">
        <v>5</v>
      </c>
      <c r="I30">
        <v>4</v>
      </c>
      <c r="J30">
        <v>20260604</v>
      </c>
      <c r="K30">
        <v>1522</v>
      </c>
      <c r="L30" t="s">
        <v>30</v>
      </c>
      <c r="M30" t="s">
        <v>34</v>
      </c>
      <c r="N30" t="s">
        <v>38</v>
      </c>
    </row>
    <row r="31" spans="1:14" x14ac:dyDescent="0.35">
      <c r="A31" t="s">
        <v>24</v>
      </c>
      <c r="B31" t="s">
        <v>22</v>
      </c>
      <c r="C31" t="s">
        <v>19</v>
      </c>
      <c r="D31">
        <v>12.07</v>
      </c>
      <c r="E31">
        <v>1</v>
      </c>
      <c r="F31">
        <v>10655</v>
      </c>
      <c r="G31">
        <v>520</v>
      </c>
      <c r="H31">
        <v>4</v>
      </c>
      <c r="I31">
        <v>2</v>
      </c>
      <c r="J31">
        <v>20260604</v>
      </c>
      <c r="K31">
        <v>1522</v>
      </c>
      <c r="L31" t="s">
        <v>30</v>
      </c>
      <c r="M31" t="s">
        <v>34</v>
      </c>
      <c r="N31" t="s">
        <v>38</v>
      </c>
    </row>
    <row r="32" spans="1:14" x14ac:dyDescent="0.35">
      <c r="A32" t="s">
        <v>25</v>
      </c>
      <c r="B32" t="s">
        <v>10</v>
      </c>
      <c r="C32" t="s">
        <v>11</v>
      </c>
      <c r="D32">
        <v>13.28</v>
      </c>
      <c r="E32">
        <v>2</v>
      </c>
      <c r="F32">
        <v>8739</v>
      </c>
      <c r="G32">
        <v>137</v>
      </c>
      <c r="H32">
        <v>5</v>
      </c>
      <c r="I32">
        <v>5</v>
      </c>
      <c r="J32">
        <v>20260604</v>
      </c>
      <c r="K32">
        <v>1527</v>
      </c>
      <c r="L32" t="s">
        <v>30</v>
      </c>
      <c r="M32" t="s">
        <v>34</v>
      </c>
      <c r="N32" t="s">
        <v>39</v>
      </c>
    </row>
    <row r="33" spans="1:14" x14ac:dyDescent="0.35">
      <c r="A33" t="s">
        <v>25</v>
      </c>
      <c r="B33" t="s">
        <v>12</v>
      </c>
      <c r="C33" t="s">
        <v>11</v>
      </c>
      <c r="D33">
        <v>7.93</v>
      </c>
      <c r="E33">
        <v>1</v>
      </c>
      <c r="F33">
        <v>7676</v>
      </c>
      <c r="G33">
        <v>236</v>
      </c>
      <c r="H33">
        <v>4</v>
      </c>
      <c r="I33">
        <v>4</v>
      </c>
      <c r="J33">
        <v>20260604</v>
      </c>
      <c r="K33">
        <v>1527</v>
      </c>
      <c r="L33" t="s">
        <v>30</v>
      </c>
      <c r="M33" t="s">
        <v>34</v>
      </c>
      <c r="N33" t="s">
        <v>39</v>
      </c>
    </row>
    <row r="34" spans="1:14" x14ac:dyDescent="0.35">
      <c r="A34" t="s">
        <v>25</v>
      </c>
      <c r="B34" t="s">
        <v>13</v>
      </c>
      <c r="C34" t="s">
        <v>11</v>
      </c>
      <c r="D34">
        <v>9.26</v>
      </c>
      <c r="E34">
        <v>1</v>
      </c>
      <c r="F34">
        <v>7179</v>
      </c>
      <c r="G34">
        <v>73</v>
      </c>
      <c r="H34">
        <v>4</v>
      </c>
      <c r="I34">
        <v>5</v>
      </c>
      <c r="J34">
        <v>20260604</v>
      </c>
      <c r="K34">
        <v>1527</v>
      </c>
      <c r="L34" t="s">
        <v>30</v>
      </c>
      <c r="M34" t="s">
        <v>34</v>
      </c>
      <c r="N34" t="s">
        <v>39</v>
      </c>
    </row>
    <row r="35" spans="1:14" x14ac:dyDescent="0.35">
      <c r="A35" t="s">
        <v>25</v>
      </c>
      <c r="B35" t="s">
        <v>14</v>
      </c>
      <c r="C35" t="s">
        <v>15</v>
      </c>
      <c r="D35">
        <v>10.42</v>
      </c>
      <c r="E35">
        <v>2</v>
      </c>
      <c r="F35">
        <v>6910</v>
      </c>
      <c r="G35">
        <v>243</v>
      </c>
      <c r="H35">
        <v>4</v>
      </c>
      <c r="I35">
        <v>3</v>
      </c>
      <c r="J35">
        <v>20260604</v>
      </c>
      <c r="K35">
        <v>1527</v>
      </c>
      <c r="L35" t="s">
        <v>30</v>
      </c>
      <c r="M35" t="s">
        <v>34</v>
      </c>
      <c r="N35" t="s">
        <v>39</v>
      </c>
    </row>
    <row r="36" spans="1:14" x14ac:dyDescent="0.35">
      <c r="A36" t="s">
        <v>25</v>
      </c>
      <c r="B36" t="s">
        <v>16</v>
      </c>
      <c r="C36" t="s">
        <v>15</v>
      </c>
      <c r="D36">
        <v>6.07</v>
      </c>
      <c r="E36">
        <v>1</v>
      </c>
      <c r="F36">
        <v>7763</v>
      </c>
      <c r="G36">
        <v>79</v>
      </c>
      <c r="H36">
        <v>4</v>
      </c>
      <c r="I36">
        <v>5</v>
      </c>
      <c r="J36">
        <v>20260604</v>
      </c>
      <c r="K36">
        <v>1527</v>
      </c>
      <c r="L36" t="s">
        <v>30</v>
      </c>
      <c r="M36" t="s">
        <v>34</v>
      </c>
      <c r="N36" t="s">
        <v>39</v>
      </c>
    </row>
    <row r="37" spans="1:14" x14ac:dyDescent="0.35">
      <c r="A37" t="s">
        <v>25</v>
      </c>
      <c r="B37" t="s">
        <v>17</v>
      </c>
      <c r="C37" t="s">
        <v>15</v>
      </c>
      <c r="D37">
        <v>7.35</v>
      </c>
      <c r="E37">
        <v>1</v>
      </c>
      <c r="F37">
        <v>7736</v>
      </c>
      <c r="G37">
        <v>129</v>
      </c>
      <c r="H37">
        <v>5</v>
      </c>
      <c r="I37">
        <v>5</v>
      </c>
      <c r="J37">
        <v>20260604</v>
      </c>
      <c r="K37">
        <v>1527</v>
      </c>
      <c r="L37" t="s">
        <v>30</v>
      </c>
      <c r="M37" t="s">
        <v>34</v>
      </c>
      <c r="N37" t="s">
        <v>39</v>
      </c>
    </row>
    <row r="38" spans="1:14" x14ac:dyDescent="0.35">
      <c r="A38" t="s">
        <v>25</v>
      </c>
      <c r="B38" t="s">
        <v>18</v>
      </c>
      <c r="C38" t="s">
        <v>19</v>
      </c>
      <c r="D38">
        <v>7.61</v>
      </c>
      <c r="E38">
        <v>1</v>
      </c>
      <c r="F38">
        <v>7114</v>
      </c>
      <c r="G38">
        <v>183</v>
      </c>
      <c r="H38">
        <v>4</v>
      </c>
      <c r="I38">
        <v>5</v>
      </c>
      <c r="J38">
        <v>20260604</v>
      </c>
      <c r="K38">
        <v>1527</v>
      </c>
      <c r="L38" t="s">
        <v>30</v>
      </c>
      <c r="M38" t="s">
        <v>34</v>
      </c>
      <c r="N38" t="s">
        <v>39</v>
      </c>
    </row>
    <row r="39" spans="1:14" x14ac:dyDescent="0.35">
      <c r="A39" t="s">
        <v>25</v>
      </c>
      <c r="B39" t="s">
        <v>20</v>
      </c>
      <c r="C39" t="s">
        <v>15</v>
      </c>
      <c r="D39">
        <v>6.6</v>
      </c>
      <c r="E39">
        <v>1</v>
      </c>
      <c r="F39">
        <v>7189</v>
      </c>
      <c r="G39">
        <v>101</v>
      </c>
      <c r="H39">
        <v>5</v>
      </c>
      <c r="I39">
        <v>5</v>
      </c>
      <c r="J39">
        <v>20260604</v>
      </c>
      <c r="K39">
        <v>1527</v>
      </c>
      <c r="L39" t="s">
        <v>30</v>
      </c>
      <c r="M39" t="s">
        <v>34</v>
      </c>
      <c r="N39" t="s">
        <v>39</v>
      </c>
    </row>
    <row r="40" spans="1:14" x14ac:dyDescent="0.35">
      <c r="A40" t="s">
        <v>25</v>
      </c>
      <c r="B40" t="s">
        <v>21</v>
      </c>
      <c r="C40" t="s">
        <v>19</v>
      </c>
      <c r="D40">
        <v>14.1</v>
      </c>
      <c r="E40">
        <v>2</v>
      </c>
      <c r="F40">
        <v>7600</v>
      </c>
      <c r="G40">
        <v>448</v>
      </c>
      <c r="H40">
        <v>4</v>
      </c>
      <c r="I40">
        <v>5</v>
      </c>
      <c r="J40">
        <v>20260604</v>
      </c>
      <c r="K40">
        <v>1527</v>
      </c>
      <c r="L40" t="s">
        <v>30</v>
      </c>
      <c r="M40" t="s">
        <v>34</v>
      </c>
      <c r="N40" t="s">
        <v>39</v>
      </c>
    </row>
    <row r="41" spans="1:14" x14ac:dyDescent="0.35">
      <c r="A41" t="s">
        <v>25</v>
      </c>
      <c r="B41" t="s">
        <v>22</v>
      </c>
      <c r="C41" t="s">
        <v>19</v>
      </c>
      <c r="D41">
        <v>11.99</v>
      </c>
      <c r="E41">
        <v>1</v>
      </c>
      <c r="F41">
        <v>10655</v>
      </c>
      <c r="G41">
        <v>456</v>
      </c>
      <c r="H41">
        <v>4</v>
      </c>
      <c r="I41">
        <v>3</v>
      </c>
      <c r="J41">
        <v>20260604</v>
      </c>
      <c r="K41">
        <v>1527</v>
      </c>
      <c r="L41" t="s">
        <v>30</v>
      </c>
      <c r="M41" t="s">
        <v>34</v>
      </c>
      <c r="N41" t="s">
        <v>39</v>
      </c>
    </row>
    <row r="42" spans="1:14" x14ac:dyDescent="0.35">
      <c r="A42" t="s">
        <v>26</v>
      </c>
      <c r="B42" t="s">
        <v>10</v>
      </c>
      <c r="C42" t="s">
        <v>11</v>
      </c>
      <c r="D42">
        <v>6.81</v>
      </c>
      <c r="E42">
        <v>2</v>
      </c>
      <c r="F42">
        <v>8251</v>
      </c>
      <c r="G42">
        <v>197</v>
      </c>
      <c r="H42">
        <v>4</v>
      </c>
      <c r="I42">
        <v>5</v>
      </c>
      <c r="J42">
        <v>20260604</v>
      </c>
      <c r="K42">
        <v>1538</v>
      </c>
      <c r="L42" t="s">
        <v>32</v>
      </c>
      <c r="M42" s="1" t="s">
        <v>35</v>
      </c>
      <c r="N42" t="s">
        <v>39</v>
      </c>
    </row>
    <row r="43" spans="1:14" x14ac:dyDescent="0.35">
      <c r="A43" t="s">
        <v>26</v>
      </c>
      <c r="B43" t="s">
        <v>12</v>
      </c>
      <c r="C43" t="s">
        <v>11</v>
      </c>
      <c r="D43">
        <v>8.82</v>
      </c>
      <c r="E43">
        <v>2</v>
      </c>
      <c r="F43">
        <v>8523</v>
      </c>
      <c r="G43">
        <v>401</v>
      </c>
      <c r="H43">
        <v>4</v>
      </c>
      <c r="I43">
        <v>5</v>
      </c>
      <c r="J43">
        <v>20260604</v>
      </c>
      <c r="K43">
        <v>1538</v>
      </c>
      <c r="L43" t="s">
        <v>32</v>
      </c>
      <c r="M43" s="1" t="s">
        <v>35</v>
      </c>
      <c r="N43" t="s">
        <v>39</v>
      </c>
    </row>
    <row r="44" spans="1:14" x14ac:dyDescent="0.35">
      <c r="A44" t="s">
        <v>26</v>
      </c>
      <c r="B44" t="s">
        <v>13</v>
      </c>
      <c r="C44" t="s">
        <v>11</v>
      </c>
      <c r="D44">
        <v>9.92</v>
      </c>
      <c r="E44">
        <v>3</v>
      </c>
      <c r="F44">
        <v>10864</v>
      </c>
      <c r="G44">
        <v>263</v>
      </c>
      <c r="H44">
        <v>3</v>
      </c>
      <c r="I44">
        <v>5</v>
      </c>
      <c r="J44">
        <v>20260604</v>
      </c>
      <c r="K44">
        <v>1538</v>
      </c>
      <c r="L44" t="s">
        <v>32</v>
      </c>
      <c r="M44" s="1" t="s">
        <v>35</v>
      </c>
      <c r="N44" t="s">
        <v>39</v>
      </c>
    </row>
    <row r="45" spans="1:14" x14ac:dyDescent="0.35">
      <c r="A45" t="s">
        <v>26</v>
      </c>
      <c r="B45" t="s">
        <v>14</v>
      </c>
      <c r="C45" t="s">
        <v>15</v>
      </c>
      <c r="D45">
        <v>9.42</v>
      </c>
      <c r="E45">
        <v>2</v>
      </c>
      <c r="F45">
        <v>7958</v>
      </c>
      <c r="G45">
        <v>324</v>
      </c>
      <c r="H45">
        <v>4</v>
      </c>
      <c r="I45">
        <v>2</v>
      </c>
      <c r="J45">
        <v>20260604</v>
      </c>
      <c r="K45">
        <v>1538</v>
      </c>
      <c r="L45" t="s">
        <v>32</v>
      </c>
      <c r="M45" s="1" t="s">
        <v>35</v>
      </c>
      <c r="N45" t="s">
        <v>39</v>
      </c>
    </row>
    <row r="46" spans="1:14" x14ac:dyDescent="0.35">
      <c r="A46" t="s">
        <v>26</v>
      </c>
      <c r="B46" t="s">
        <v>16</v>
      </c>
      <c r="C46" t="s">
        <v>15</v>
      </c>
      <c r="D46">
        <v>7.18</v>
      </c>
      <c r="E46">
        <v>2</v>
      </c>
      <c r="F46">
        <v>8347</v>
      </c>
      <c r="G46">
        <v>226</v>
      </c>
      <c r="H46">
        <v>3</v>
      </c>
      <c r="I46">
        <v>2</v>
      </c>
      <c r="J46">
        <v>20260604</v>
      </c>
      <c r="K46">
        <v>1538</v>
      </c>
      <c r="L46" t="s">
        <v>32</v>
      </c>
      <c r="M46" s="1" t="s">
        <v>35</v>
      </c>
      <c r="N46" t="s">
        <v>39</v>
      </c>
    </row>
    <row r="47" spans="1:14" x14ac:dyDescent="0.35">
      <c r="A47" t="s">
        <v>26</v>
      </c>
      <c r="B47" t="s">
        <v>17</v>
      </c>
      <c r="C47" t="s">
        <v>15</v>
      </c>
      <c r="D47">
        <v>12.69</v>
      </c>
      <c r="E47">
        <v>4</v>
      </c>
      <c r="F47">
        <v>13755</v>
      </c>
      <c r="G47">
        <v>485</v>
      </c>
      <c r="H47">
        <v>5</v>
      </c>
      <c r="I47">
        <v>5</v>
      </c>
      <c r="J47">
        <v>20260604</v>
      </c>
      <c r="K47">
        <v>1538</v>
      </c>
      <c r="L47" t="s">
        <v>32</v>
      </c>
      <c r="M47" s="1" t="s">
        <v>35</v>
      </c>
      <c r="N47" t="s">
        <v>39</v>
      </c>
    </row>
    <row r="48" spans="1:14" x14ac:dyDescent="0.35">
      <c r="A48" t="s">
        <v>26</v>
      </c>
      <c r="B48" t="s">
        <v>18</v>
      </c>
      <c r="C48" t="s">
        <v>19</v>
      </c>
      <c r="D48">
        <v>31.77</v>
      </c>
      <c r="E48">
        <v>6</v>
      </c>
      <c r="F48">
        <v>26201</v>
      </c>
      <c r="G48">
        <v>1404</v>
      </c>
      <c r="H48">
        <v>3</v>
      </c>
      <c r="I48">
        <v>4</v>
      </c>
      <c r="J48">
        <v>20260604</v>
      </c>
      <c r="K48">
        <v>1538</v>
      </c>
      <c r="L48" t="s">
        <v>32</v>
      </c>
      <c r="M48" s="1" t="s">
        <v>35</v>
      </c>
      <c r="N48" t="s">
        <v>39</v>
      </c>
    </row>
    <row r="49" spans="1:14" x14ac:dyDescent="0.35">
      <c r="A49" t="s">
        <v>26</v>
      </c>
      <c r="B49" t="s">
        <v>20</v>
      </c>
      <c r="C49" t="s">
        <v>15</v>
      </c>
      <c r="D49">
        <v>11.7</v>
      </c>
      <c r="E49">
        <v>2</v>
      </c>
      <c r="F49">
        <v>7913</v>
      </c>
      <c r="G49">
        <v>213</v>
      </c>
      <c r="H49">
        <v>4</v>
      </c>
      <c r="I49">
        <v>5</v>
      </c>
      <c r="J49">
        <v>20260604</v>
      </c>
      <c r="K49">
        <v>1538</v>
      </c>
      <c r="L49" t="s">
        <v>32</v>
      </c>
      <c r="M49" s="1" t="s">
        <v>35</v>
      </c>
      <c r="N49" t="s">
        <v>39</v>
      </c>
    </row>
    <row r="50" spans="1:14" x14ac:dyDescent="0.35">
      <c r="A50" t="s">
        <v>26</v>
      </c>
      <c r="B50" t="s">
        <v>21</v>
      </c>
      <c r="C50" t="s">
        <v>19</v>
      </c>
      <c r="D50">
        <v>20.77</v>
      </c>
      <c r="E50">
        <v>4</v>
      </c>
      <c r="F50">
        <v>11408</v>
      </c>
      <c r="G50">
        <v>612</v>
      </c>
      <c r="H50">
        <v>4</v>
      </c>
      <c r="I50">
        <v>5</v>
      </c>
      <c r="J50">
        <v>20260604</v>
      </c>
      <c r="K50">
        <v>1538</v>
      </c>
      <c r="L50" t="s">
        <v>32</v>
      </c>
      <c r="M50" s="1" t="s">
        <v>35</v>
      </c>
      <c r="N50" t="s">
        <v>39</v>
      </c>
    </row>
    <row r="51" spans="1:14" x14ac:dyDescent="0.35">
      <c r="A51" t="s">
        <v>26</v>
      </c>
      <c r="B51" t="s">
        <v>22</v>
      </c>
      <c r="C51" t="s">
        <v>19</v>
      </c>
      <c r="D51">
        <v>45.91</v>
      </c>
      <c r="E51">
        <v>6</v>
      </c>
      <c r="F51">
        <v>24194</v>
      </c>
      <c r="G51">
        <v>1183</v>
      </c>
      <c r="H51">
        <v>3</v>
      </c>
      <c r="I51">
        <v>3</v>
      </c>
      <c r="J51">
        <v>20260604</v>
      </c>
      <c r="K51">
        <v>1538</v>
      </c>
      <c r="L51" t="s">
        <v>32</v>
      </c>
      <c r="M51" s="1" t="s">
        <v>35</v>
      </c>
      <c r="N5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3EBC8-65D5-4577-8746-07AEFE6AAFD5}">
  <dimension ref="B1:Q18"/>
  <sheetViews>
    <sheetView tabSelected="1" workbookViewId="0">
      <selection activeCell="D22" sqref="D22"/>
    </sheetView>
  </sheetViews>
  <sheetFormatPr defaultRowHeight="14.5" x14ac:dyDescent="0.35"/>
  <cols>
    <col min="2" max="2" width="12.453125" bestFit="1" customWidth="1"/>
    <col min="3" max="3" width="17.81640625" bestFit="1" customWidth="1"/>
    <col min="4" max="4" width="19.90625" bestFit="1" customWidth="1"/>
    <col min="5" max="5" width="18.08984375" bestFit="1" customWidth="1"/>
    <col min="6" max="6" width="19.1796875" bestFit="1" customWidth="1"/>
    <col min="7" max="7" width="21.1796875" bestFit="1" customWidth="1"/>
    <col min="8" max="8" width="28.54296875" bestFit="1" customWidth="1"/>
  </cols>
  <sheetData>
    <row r="1" spans="2:17" x14ac:dyDescent="0.35">
      <c r="B1" s="2" t="s">
        <v>29</v>
      </c>
      <c r="C1" t="s">
        <v>30</v>
      </c>
      <c r="K1" s="2" t="s">
        <v>29</v>
      </c>
      <c r="L1" t="s">
        <v>32</v>
      </c>
    </row>
    <row r="2" spans="2:17" x14ac:dyDescent="0.35">
      <c r="B2" s="2" t="s">
        <v>37</v>
      </c>
      <c r="C2" t="s">
        <v>39</v>
      </c>
      <c r="K2" s="2" t="s">
        <v>37</v>
      </c>
      <c r="L2" t="s">
        <v>39</v>
      </c>
    </row>
    <row r="4" spans="2:17" x14ac:dyDescent="0.35">
      <c r="B4" s="2" t="s">
        <v>40</v>
      </c>
      <c r="C4" t="s">
        <v>47</v>
      </c>
      <c r="D4" t="s">
        <v>42</v>
      </c>
      <c r="E4" t="s">
        <v>43</v>
      </c>
      <c r="F4" t="s">
        <v>44</v>
      </c>
      <c r="G4" t="s">
        <v>46</v>
      </c>
      <c r="H4" t="s">
        <v>45</v>
      </c>
      <c r="K4" s="2" t="s">
        <v>40</v>
      </c>
      <c r="L4" t="s">
        <v>47</v>
      </c>
      <c r="M4" t="s">
        <v>42</v>
      </c>
      <c r="N4" t="s">
        <v>43</v>
      </c>
      <c r="O4" t="s">
        <v>44</v>
      </c>
      <c r="P4" t="s">
        <v>46</v>
      </c>
      <c r="Q4" t="s">
        <v>45</v>
      </c>
    </row>
    <row r="5" spans="2:17" x14ac:dyDescent="0.35">
      <c r="B5" s="3" t="s">
        <v>10</v>
      </c>
      <c r="C5" s="4">
        <v>13.28</v>
      </c>
      <c r="D5" s="4">
        <v>2</v>
      </c>
      <c r="E5" s="5">
        <v>8739</v>
      </c>
      <c r="F5" s="5">
        <v>137</v>
      </c>
      <c r="G5" s="4">
        <v>5</v>
      </c>
      <c r="H5" s="4">
        <v>5</v>
      </c>
      <c r="K5" s="3" t="s">
        <v>10</v>
      </c>
      <c r="L5" s="4">
        <v>6.81</v>
      </c>
      <c r="M5" s="4">
        <v>2</v>
      </c>
      <c r="N5" s="5">
        <v>8251</v>
      </c>
      <c r="O5" s="5">
        <v>197</v>
      </c>
      <c r="P5" s="4">
        <v>4</v>
      </c>
      <c r="Q5" s="4">
        <v>5</v>
      </c>
    </row>
    <row r="6" spans="2:17" x14ac:dyDescent="0.35">
      <c r="B6" s="3" t="s">
        <v>12</v>
      </c>
      <c r="C6" s="4">
        <v>7.93</v>
      </c>
      <c r="D6" s="4">
        <v>1</v>
      </c>
      <c r="E6" s="5">
        <v>7676</v>
      </c>
      <c r="F6" s="5">
        <v>236</v>
      </c>
      <c r="G6" s="4">
        <v>4</v>
      </c>
      <c r="H6" s="4">
        <v>4</v>
      </c>
      <c r="K6" s="3" t="s">
        <v>12</v>
      </c>
      <c r="L6" s="4">
        <v>8.82</v>
      </c>
      <c r="M6" s="4">
        <v>2</v>
      </c>
      <c r="N6" s="5">
        <v>8523</v>
      </c>
      <c r="O6" s="5">
        <v>401</v>
      </c>
      <c r="P6" s="4">
        <v>4</v>
      </c>
      <c r="Q6" s="4">
        <v>5</v>
      </c>
    </row>
    <row r="7" spans="2:17" x14ac:dyDescent="0.35">
      <c r="B7" s="3" t="s">
        <v>13</v>
      </c>
      <c r="C7" s="4">
        <v>9.26</v>
      </c>
      <c r="D7" s="4">
        <v>1</v>
      </c>
      <c r="E7" s="5">
        <v>7179</v>
      </c>
      <c r="F7" s="5">
        <v>73</v>
      </c>
      <c r="G7" s="4">
        <v>4</v>
      </c>
      <c r="H7" s="4">
        <v>5</v>
      </c>
      <c r="K7" s="3" t="s">
        <v>13</v>
      </c>
      <c r="L7" s="4">
        <v>9.92</v>
      </c>
      <c r="M7" s="4">
        <v>3</v>
      </c>
      <c r="N7" s="5">
        <v>10864</v>
      </c>
      <c r="O7" s="5">
        <v>263</v>
      </c>
      <c r="P7" s="4">
        <v>3</v>
      </c>
      <c r="Q7" s="4">
        <v>5</v>
      </c>
    </row>
    <row r="8" spans="2:17" x14ac:dyDescent="0.35">
      <c r="B8" s="3" t="s">
        <v>14</v>
      </c>
      <c r="C8" s="4">
        <v>10.42</v>
      </c>
      <c r="D8" s="4">
        <v>2</v>
      </c>
      <c r="E8" s="5">
        <v>6910</v>
      </c>
      <c r="F8" s="5">
        <v>243</v>
      </c>
      <c r="G8" s="4">
        <v>4</v>
      </c>
      <c r="H8" s="4">
        <v>3</v>
      </c>
      <c r="K8" s="3" t="s">
        <v>14</v>
      </c>
      <c r="L8" s="4">
        <v>9.42</v>
      </c>
      <c r="M8" s="4">
        <v>2</v>
      </c>
      <c r="N8" s="5">
        <v>7958</v>
      </c>
      <c r="O8" s="5">
        <v>324</v>
      </c>
      <c r="P8" s="4">
        <v>4</v>
      </c>
      <c r="Q8" s="4">
        <v>2</v>
      </c>
    </row>
    <row r="9" spans="2:17" x14ac:dyDescent="0.35">
      <c r="B9" s="3" t="s">
        <v>16</v>
      </c>
      <c r="C9" s="4">
        <v>6.07</v>
      </c>
      <c r="D9" s="4">
        <v>1</v>
      </c>
      <c r="E9" s="5">
        <v>7763</v>
      </c>
      <c r="F9" s="5">
        <v>79</v>
      </c>
      <c r="G9" s="4">
        <v>4</v>
      </c>
      <c r="H9" s="4">
        <v>5</v>
      </c>
      <c r="K9" s="3" t="s">
        <v>16</v>
      </c>
      <c r="L9" s="4">
        <v>7.18</v>
      </c>
      <c r="M9" s="4">
        <v>2</v>
      </c>
      <c r="N9" s="5">
        <v>8347</v>
      </c>
      <c r="O9" s="5">
        <v>226</v>
      </c>
      <c r="P9" s="4">
        <v>3</v>
      </c>
      <c r="Q9" s="4">
        <v>2</v>
      </c>
    </row>
    <row r="10" spans="2:17" x14ac:dyDescent="0.35">
      <c r="B10" s="3" t="s">
        <v>17</v>
      </c>
      <c r="C10" s="4">
        <v>7.35</v>
      </c>
      <c r="D10" s="4">
        <v>1</v>
      </c>
      <c r="E10" s="5">
        <v>7736</v>
      </c>
      <c r="F10" s="5">
        <v>129</v>
      </c>
      <c r="G10" s="4">
        <v>5</v>
      </c>
      <c r="H10" s="4">
        <v>5</v>
      </c>
      <c r="K10" s="3" t="s">
        <v>17</v>
      </c>
      <c r="L10" s="4">
        <v>12.69</v>
      </c>
      <c r="M10" s="4">
        <v>4</v>
      </c>
      <c r="N10" s="5">
        <v>13755</v>
      </c>
      <c r="O10" s="5">
        <v>485</v>
      </c>
      <c r="P10" s="4">
        <v>5</v>
      </c>
      <c r="Q10" s="4">
        <v>5</v>
      </c>
    </row>
    <row r="11" spans="2:17" x14ac:dyDescent="0.35">
      <c r="B11" s="3" t="s">
        <v>18</v>
      </c>
      <c r="C11" s="4">
        <v>7.61</v>
      </c>
      <c r="D11" s="4">
        <v>1</v>
      </c>
      <c r="E11" s="5">
        <v>7114</v>
      </c>
      <c r="F11" s="5">
        <v>183</v>
      </c>
      <c r="G11" s="4">
        <v>4</v>
      </c>
      <c r="H11" s="4">
        <v>5</v>
      </c>
      <c r="K11" s="3" t="s">
        <v>18</v>
      </c>
      <c r="L11" s="4">
        <v>31.77</v>
      </c>
      <c r="M11" s="4">
        <v>6</v>
      </c>
      <c r="N11" s="5">
        <v>26201</v>
      </c>
      <c r="O11" s="5">
        <v>1404</v>
      </c>
      <c r="P11" s="4">
        <v>3</v>
      </c>
      <c r="Q11" s="4">
        <v>4</v>
      </c>
    </row>
    <row r="12" spans="2:17" x14ac:dyDescent="0.35">
      <c r="B12" s="3" t="s">
        <v>20</v>
      </c>
      <c r="C12" s="4">
        <v>6.6</v>
      </c>
      <c r="D12" s="4">
        <v>1</v>
      </c>
      <c r="E12" s="5">
        <v>7189</v>
      </c>
      <c r="F12" s="5">
        <v>101</v>
      </c>
      <c r="G12" s="4">
        <v>5</v>
      </c>
      <c r="H12" s="4">
        <v>5</v>
      </c>
      <c r="K12" s="3" t="s">
        <v>20</v>
      </c>
      <c r="L12" s="4">
        <v>11.7</v>
      </c>
      <c r="M12" s="4">
        <v>2</v>
      </c>
      <c r="N12" s="5">
        <v>7913</v>
      </c>
      <c r="O12" s="5">
        <v>213</v>
      </c>
      <c r="P12" s="4">
        <v>4</v>
      </c>
      <c r="Q12" s="4">
        <v>5</v>
      </c>
    </row>
    <row r="13" spans="2:17" x14ac:dyDescent="0.35">
      <c r="B13" s="3" t="s">
        <v>21</v>
      </c>
      <c r="C13" s="4">
        <v>14.1</v>
      </c>
      <c r="D13" s="4">
        <v>2</v>
      </c>
      <c r="E13" s="5">
        <v>7600</v>
      </c>
      <c r="F13" s="5">
        <v>448</v>
      </c>
      <c r="G13" s="4">
        <v>4</v>
      </c>
      <c r="H13" s="4">
        <v>5</v>
      </c>
      <c r="K13" s="3" t="s">
        <v>21</v>
      </c>
      <c r="L13" s="4">
        <v>20.77</v>
      </c>
      <c r="M13" s="4">
        <v>4</v>
      </c>
      <c r="N13" s="5">
        <v>11408</v>
      </c>
      <c r="O13" s="5">
        <v>612</v>
      </c>
      <c r="P13" s="4">
        <v>4</v>
      </c>
      <c r="Q13" s="4">
        <v>5</v>
      </c>
    </row>
    <row r="14" spans="2:17" x14ac:dyDescent="0.35">
      <c r="B14" s="3" t="s">
        <v>22</v>
      </c>
      <c r="C14" s="4">
        <v>11.99</v>
      </c>
      <c r="D14" s="4">
        <v>1</v>
      </c>
      <c r="E14" s="5">
        <v>10655</v>
      </c>
      <c r="F14" s="5">
        <v>456</v>
      </c>
      <c r="G14" s="4">
        <v>4</v>
      </c>
      <c r="H14" s="4">
        <v>3</v>
      </c>
      <c r="K14" s="3" t="s">
        <v>22</v>
      </c>
      <c r="L14" s="4">
        <v>45.91</v>
      </c>
      <c r="M14" s="4">
        <v>6</v>
      </c>
      <c r="N14" s="5">
        <v>24194</v>
      </c>
      <c r="O14" s="5">
        <v>1183</v>
      </c>
      <c r="P14" s="4">
        <v>3</v>
      </c>
      <c r="Q14" s="4">
        <v>3</v>
      </c>
    </row>
    <row r="15" spans="2:17" x14ac:dyDescent="0.35">
      <c r="B15" s="3" t="s">
        <v>41</v>
      </c>
      <c r="C15" s="4">
        <v>9.4609999999999985</v>
      </c>
      <c r="D15" s="4">
        <v>13</v>
      </c>
      <c r="E15" s="5">
        <v>78561</v>
      </c>
      <c r="F15" s="5">
        <v>2085</v>
      </c>
      <c r="G15" s="4">
        <v>4.3</v>
      </c>
      <c r="H15" s="4">
        <v>4.5</v>
      </c>
      <c r="K15" s="3" t="s">
        <v>41</v>
      </c>
      <c r="L15" s="4">
        <v>16.499000000000002</v>
      </c>
      <c r="M15" s="4">
        <v>33</v>
      </c>
      <c r="N15" s="5">
        <v>127414</v>
      </c>
      <c r="O15" s="5">
        <v>5308</v>
      </c>
      <c r="P15" s="4">
        <v>3.7</v>
      </c>
      <c r="Q15" s="4">
        <v>4.0999999999999996</v>
      </c>
    </row>
    <row r="18" spans="2:8" x14ac:dyDescent="0.35">
      <c r="B18" s="6" t="s">
        <v>48</v>
      </c>
      <c r="C18" s="7">
        <f>C15/L15 -1</f>
        <v>-0.42657130735196092</v>
      </c>
      <c r="D18" s="7">
        <f t="shared" ref="D18:H18" si="0">D15/M15 -1</f>
        <v>-0.60606060606060608</v>
      </c>
      <c r="E18" s="7">
        <f t="shared" si="0"/>
        <v>-0.38341940446104827</v>
      </c>
      <c r="F18" s="7">
        <f t="shared" si="0"/>
        <v>-0.60719668425018836</v>
      </c>
      <c r="G18" s="7">
        <f t="shared" si="0"/>
        <v>0.16216216216216206</v>
      </c>
      <c r="H18" s="7">
        <f t="shared" si="0"/>
        <v>9.7560975609756184E-2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evals_summary</vt:lpstr>
      <vt:lpstr>pivots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Molyneaux</dc:creator>
  <cp:lastModifiedBy>Ben Molyneaux</cp:lastModifiedBy>
  <dcterms:created xsi:type="dcterms:W3CDTF">2026-06-04T14:50:22Z</dcterms:created>
  <dcterms:modified xsi:type="dcterms:W3CDTF">2026-06-04T14:51:50Z</dcterms:modified>
</cp:coreProperties>
</file>