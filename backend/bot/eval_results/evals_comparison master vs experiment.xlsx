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mo\src\hl-investment-dashboard\backend\bot\eval_results\"/>
    </mc:Choice>
  </mc:AlternateContent>
  <xr:revisionPtr revIDLastSave="0" documentId="13_ncr:1_{D99CCAE3-7C46-4D47-AB10-E92212EC9257}" xr6:coauthVersionLast="47" xr6:coauthVersionMax="47" xr10:uidLastSave="{00000000-0000-0000-0000-000000000000}"/>
  <bookViews>
    <workbookView xWindow="19200" yWindow="0" windowWidth="19200" windowHeight="21000" xr2:uid="{CE97BBF2-D77A-495A-BB32-39216BE2F2E5}"/>
  </bookViews>
  <sheets>
    <sheet name="evals_summary" sheetId="1" r:id="rId1"/>
    <sheet name="pivots" sheetId="2" r:id="rId2"/>
  </sheets>
  <calcPr calcId="191029"/>
  <pivotCaches>
    <pivotCache cacheId="1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2" l="1"/>
  <c r="D39" i="2"/>
  <c r="E39" i="2"/>
  <c r="F39" i="2"/>
  <c r="G39" i="2"/>
  <c r="H39" i="2"/>
  <c r="C40" i="2"/>
  <c r="D40" i="2"/>
  <c r="E40" i="2"/>
  <c r="F40" i="2"/>
  <c r="G40" i="2"/>
  <c r="H40" i="2"/>
  <c r="C41" i="2"/>
  <c r="D41" i="2"/>
  <c r="E41" i="2"/>
  <c r="F41" i="2"/>
  <c r="G41" i="2"/>
  <c r="H41" i="2"/>
  <c r="C42" i="2"/>
  <c r="D42" i="2"/>
  <c r="E42" i="2"/>
  <c r="F42" i="2"/>
  <c r="G42" i="2"/>
  <c r="H42" i="2"/>
  <c r="C43" i="2"/>
  <c r="D43" i="2"/>
  <c r="E43" i="2"/>
  <c r="F43" i="2"/>
  <c r="G43" i="2"/>
  <c r="H43" i="2"/>
  <c r="C44" i="2"/>
  <c r="D44" i="2"/>
  <c r="E44" i="2"/>
  <c r="F44" i="2"/>
  <c r="G44" i="2"/>
  <c r="H44" i="2"/>
  <c r="C45" i="2"/>
  <c r="D45" i="2"/>
  <c r="E45" i="2"/>
  <c r="F45" i="2"/>
  <c r="G45" i="2"/>
  <c r="H45" i="2"/>
  <c r="C46" i="2"/>
  <c r="D46" i="2"/>
  <c r="E46" i="2"/>
  <c r="F46" i="2"/>
  <c r="G46" i="2"/>
  <c r="H46" i="2"/>
  <c r="C47" i="2"/>
  <c r="D47" i="2"/>
  <c r="E47" i="2"/>
  <c r="F47" i="2"/>
  <c r="G47" i="2"/>
  <c r="H47" i="2"/>
  <c r="C48" i="2"/>
  <c r="D48" i="2"/>
  <c r="E48" i="2"/>
  <c r="F48" i="2"/>
  <c r="G48" i="2"/>
  <c r="H48" i="2"/>
  <c r="D38" i="2"/>
  <c r="E38" i="2"/>
  <c r="F38" i="2"/>
  <c r="G38" i="2"/>
  <c r="H38" i="2"/>
  <c r="C38" i="2"/>
  <c r="B39" i="2"/>
  <c r="B40" i="2"/>
  <c r="B41" i="2"/>
  <c r="B42" i="2"/>
  <c r="B43" i="2"/>
  <c r="B44" i="2"/>
  <c r="B45" i="2"/>
  <c r="B46" i="2"/>
  <c r="B47" i="2"/>
  <c r="B48" i="2"/>
  <c r="B38" i="2"/>
  <c r="D37" i="2"/>
  <c r="E37" i="2"/>
  <c r="F37" i="2"/>
  <c r="G37" i="2"/>
  <c r="H37" i="2"/>
  <c r="C37" i="2"/>
  <c r="D34" i="2"/>
  <c r="E34" i="2"/>
  <c r="F34" i="2"/>
  <c r="G34" i="2"/>
  <c r="H34" i="2"/>
  <c r="C34" i="2"/>
</calcChain>
</file>

<file path=xl/sharedStrings.xml><?xml version="1.0" encoding="utf-8"?>
<sst xmlns="http://schemas.openxmlformats.org/spreadsheetml/2006/main" count="601" uniqueCount="57">
  <si>
    <t>filename</t>
  </si>
  <si>
    <t>test_case_id</t>
  </si>
  <si>
    <t>difficulty</t>
  </si>
  <si>
    <t>latency_s</t>
  </si>
  <si>
    <t>tool_call_count</t>
  </si>
  <si>
    <t>input_tokens</t>
  </si>
  <si>
    <t>output_tokens</t>
  </si>
  <si>
    <t>quality_score</t>
  </si>
  <si>
    <t>accuracy_judge_score</t>
  </si>
  <si>
    <t>20260604_1410_master_2da3861_haiku.json</t>
  </si>
  <si>
    <t>Q01</t>
  </si>
  <si>
    <t>simple</t>
  </si>
  <si>
    <t>Q02</t>
  </si>
  <si>
    <t>Q03</t>
  </si>
  <si>
    <t>Q04</t>
  </si>
  <si>
    <t>medium</t>
  </si>
  <si>
    <t>Q05</t>
  </si>
  <si>
    <t>Q06</t>
  </si>
  <si>
    <t>Q07</t>
  </si>
  <si>
    <t>complex</t>
  </si>
  <si>
    <t>Q08</t>
  </si>
  <si>
    <t>Q09</t>
  </si>
  <si>
    <t>Q10</t>
  </si>
  <si>
    <t>20260604_1522_master_369088d_haiku.json</t>
  </si>
  <si>
    <t>20260604_1527_master_369088d_sonnet.json</t>
  </si>
  <si>
    <t>20260604_1538_claude-backend-rest-api-check-RYSua_0e64557_sonnet.json</t>
  </si>
  <si>
    <t>date</t>
  </si>
  <si>
    <t>time</t>
  </si>
  <si>
    <t>branch</t>
  </si>
  <si>
    <t>master</t>
  </si>
  <si>
    <t>2da3861</t>
  </si>
  <si>
    <t>claude-backend-rest-api-check-RYSua</t>
  </si>
  <si>
    <t>369088d</t>
  </si>
  <si>
    <t>0e64557</t>
  </si>
  <si>
    <t>haiku</t>
  </si>
  <si>
    <t>sonnet</t>
  </si>
  <si>
    <t>Row Labels</t>
  </si>
  <si>
    <t>Grand Total</t>
  </si>
  <si>
    <t>Sum of tool_call_count</t>
  </si>
  <si>
    <t>Sum of input_tokens</t>
  </si>
  <si>
    <t>Sum of output_tokens</t>
  </si>
  <si>
    <t>Average of accuracy_judge_score</t>
  </si>
  <si>
    <t>Average of quality_score</t>
  </si>
  <si>
    <t>Average of latency_s</t>
  </si>
  <si>
    <t>Pct_diff</t>
  </si>
  <si>
    <t>20260612_1049_claude-ecstatic-franklin-2kj5ml_7e8f0a5_sonnet.json</t>
  </si>
  <si>
    <t>commit_hash</t>
  </si>
  <si>
    <t>judge_model</t>
  </si>
  <si>
    <t>20260603_100445_master_ba05baf_haiku.json</t>
  </si>
  <si>
    <t>ba05baf</t>
  </si>
  <si>
    <t>20260603_1109_master_04be6c5_haiku.json</t>
  </si>
  <si>
    <t>04be6c5</t>
  </si>
  <si>
    <t>20260604_1426_master_2da3861_haiku.json</t>
  </si>
  <si>
    <t>claude-ecstatic-franklin-2kj5ml</t>
  </si>
  <si>
    <t>7e8f0a5</t>
  </si>
  <si>
    <t>Deltas</t>
  </si>
  <si>
    <t>20260612_1111_claude-ecstatic-franklin-2kj5ml_7e8f0a5_sonnet.json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</si>
</sst>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9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  <xf numFmtId="9" fontId="16" fillId="0" borderId="0" xfId="1" applyFont="1"/>
    <xf numFmtId="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6" fillId="0" borderId="10" xfId="0" applyFont="1" applyBorder="1"/>
    <xf numFmtId="0" fontId="16" fillId="0" borderId="11" xfId="0" applyFont="1" applyBorder="1"/>
    <xf numFmtId="0" fontId="16" fillId="0" borderId="12" xfId="0" applyFont="1" applyBorder="1"/>
    <xf numFmtId="169" fontId="0" fillId="0" borderId="14" xfId="0" applyNumberFormat="1" applyBorder="1"/>
    <xf numFmtId="169" fontId="0" fillId="0" borderId="0" xfId="0" applyNumberFormat="1" applyBorder="1"/>
    <xf numFmtId="169" fontId="0" fillId="0" borderId="19" xfId="0" applyNumberFormat="1" applyBorder="1"/>
    <xf numFmtId="169" fontId="0" fillId="0" borderId="11" xfId="0" applyNumberFormat="1" applyBorder="1"/>
    <xf numFmtId="169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31">
    <dxf>
      <numFmt numFmtId="164" formatCode="_-* #,##0_-;\-* #,##0_-;_-* &quot;-&quot;??_-;_-@_-"/>
    </dxf>
    <dxf>
      <numFmt numFmtId="169" formatCode="0.0"/>
    </dxf>
    <dxf>
      <numFmt numFmtId="164" formatCode="_-* #,##0_-;\-* #,##0_-;_-* &quot;-&quot;??_-;_-@_-"/>
    </dxf>
    <dxf>
      <numFmt numFmtId="169" formatCode="0.0"/>
    </dxf>
    <dxf>
      <numFmt numFmtId="164" formatCode="_-* #,##0_-;\-* #,##0_-;_-* &quot;-&quot;??_-;_-@_-"/>
    </dxf>
    <dxf>
      <numFmt numFmtId="169" formatCode="0.0"/>
    </dxf>
    <dxf>
      <numFmt numFmtId="164" formatCode="_-* #,##0_-;\-* #,##0_-;_-* &quot;-&quot;??_-;_-@_-"/>
    </dxf>
    <dxf>
      <numFmt numFmtId="169" formatCode="0.0"/>
    </dxf>
    <dxf>
      <numFmt numFmtId="2" formatCode="0.00"/>
    </dxf>
    <dxf>
      <numFmt numFmtId="169" formatCode="0.0"/>
    </dxf>
    <dxf>
      <numFmt numFmtId="164" formatCode="_-* #,##0_-;\-* #,##0_-;_-* &quot;-&quot;??_-;_-@_-"/>
    </dxf>
    <dxf>
      <numFmt numFmtId="2" formatCode="0.00"/>
    </dxf>
    <dxf>
      <numFmt numFmtId="164" formatCode="_-* #,##0_-;\-* #,##0_-;_-* &quot;-&quot;??_-;_-@_-"/>
    </dxf>
    <dxf>
      <numFmt numFmtId="2" formatCode="0.00"/>
    </dxf>
    <dxf>
      <numFmt numFmtId="169" formatCode="0.0"/>
    </dxf>
    <dxf>
      <numFmt numFmtId="164" formatCode="_-* #,##0_-;\-* #,##0_-;_-* &quot;-&quot;??_-;_-@_-"/>
    </dxf>
    <dxf>
      <numFmt numFmtId="2" formatCode="0.0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n Molyneaux" refreshedDate="46185.467200462961" createdVersion="8" refreshedVersion="8" minRefreshableVersion="3" recordCount="90" xr:uid="{4517C0F3-AA0F-4E7C-A1A5-6861D246D772}">
  <cacheSource type="worksheet">
    <worksheetSource ref="A1:N91" sheet="evals_summary"/>
  </cacheSource>
  <cacheFields count="14">
    <cacheField name="filename" numFmtId="0">
      <sharedItems/>
    </cacheField>
    <cacheField name="date" numFmtId="0">
      <sharedItems containsSemiMixedTypes="0" containsString="0" containsNumber="1" containsInteger="1" minValue="20260603" maxValue="20260612"/>
    </cacheField>
    <cacheField name="time" numFmtId="0">
      <sharedItems containsSemiMixedTypes="0" containsString="0" containsNumber="1" containsInteger="1" minValue="1049" maxValue="100445" count="9">
        <n v="100445"/>
        <n v="1109"/>
        <n v="1410"/>
        <n v="1426"/>
        <n v="1522"/>
        <n v="1527"/>
        <n v="1538"/>
        <n v="1049"/>
        <n v="1111"/>
      </sharedItems>
    </cacheField>
    <cacheField name="branch" numFmtId="0">
      <sharedItems count="3">
        <s v="master"/>
        <s v="claude-backend-rest-api-check-RYSua"/>
        <s v="claude-ecstatic-franklin-2kj5ml"/>
      </sharedItems>
    </cacheField>
    <cacheField name="commit_hash" numFmtId="0">
      <sharedItems/>
    </cacheField>
    <cacheField name="judge_model" numFmtId="0">
      <sharedItems count="2">
        <s v="haiku"/>
        <s v="sonnet"/>
      </sharedItems>
    </cacheField>
    <cacheField name="test_case_id" numFmtId="0">
      <sharedItems count="10">
        <s v="Q01"/>
        <s v="Q02"/>
        <s v="Q03"/>
        <s v="Q04"/>
        <s v="Q05"/>
        <s v="Q06"/>
        <s v="Q07"/>
        <s v="Q08"/>
        <s v="Q09"/>
        <s v="Q10"/>
      </sharedItems>
    </cacheField>
    <cacheField name="difficulty" numFmtId="0">
      <sharedItems/>
    </cacheField>
    <cacheField name="latency_s" numFmtId="0">
      <sharedItems containsSemiMixedTypes="0" containsString="0" containsNumber="1" minValue="5.22" maxValue="45.91"/>
    </cacheField>
    <cacheField name="tool_call_count" numFmtId="0">
      <sharedItems containsSemiMixedTypes="0" containsString="0" containsNumber="1" containsInteger="1" minValue="1" maxValue="6"/>
    </cacheField>
    <cacheField name="input_tokens" numFmtId="0">
      <sharedItems containsSemiMixedTypes="0" containsString="0" containsNumber="1" containsInteger="1" minValue="6704" maxValue="26201"/>
    </cacheField>
    <cacheField name="output_tokens" numFmtId="0">
      <sharedItems containsSemiMixedTypes="0" containsString="0" containsNumber="1" containsInteger="1" minValue="72" maxValue="1404"/>
    </cacheField>
    <cacheField name="quality_score" numFmtId="0">
      <sharedItems containsSemiMixedTypes="0" containsString="0" containsNumber="1" containsInteger="1" minValue="2" maxValue="5"/>
    </cacheField>
    <cacheField name="accuracy_judge_score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20260603_100445_master_ba05baf_haiku.json"/>
    <n v="20260603"/>
    <x v="0"/>
    <x v="0"/>
    <s v="ba05baf"/>
    <x v="0"/>
    <x v="0"/>
    <s v="simple"/>
    <n v="9.4600000000000009"/>
    <n v="2"/>
    <n v="8545"/>
    <n v="137"/>
    <n v="5"/>
    <n v="2"/>
  </r>
  <r>
    <s v="20260603_100445_master_ba05baf_haiku.json"/>
    <n v="20260603"/>
    <x v="0"/>
    <x v="0"/>
    <s v="ba05baf"/>
    <x v="0"/>
    <x v="1"/>
    <s v="simple"/>
    <n v="8.58"/>
    <n v="1"/>
    <n v="7474"/>
    <n v="276"/>
    <n v="5"/>
    <n v="2"/>
  </r>
  <r>
    <s v="20260603_100445_master_ba05baf_haiku.json"/>
    <n v="20260603"/>
    <x v="0"/>
    <x v="0"/>
    <s v="ba05baf"/>
    <x v="0"/>
    <x v="2"/>
    <s v="simple"/>
    <n v="5.36"/>
    <n v="1"/>
    <n v="6973"/>
    <n v="73"/>
    <n v="5"/>
    <n v="5"/>
  </r>
  <r>
    <s v="20260603_100445_master_ba05baf_haiku.json"/>
    <n v="20260603"/>
    <x v="0"/>
    <x v="0"/>
    <s v="ba05baf"/>
    <x v="0"/>
    <x v="3"/>
    <s v="medium"/>
    <n v="11.85"/>
    <n v="2"/>
    <n v="6707"/>
    <n v="261"/>
    <n v="5"/>
    <n v="2"/>
  </r>
  <r>
    <s v="20260603_100445_master_ba05baf_haiku.json"/>
    <n v="20260603"/>
    <x v="0"/>
    <x v="0"/>
    <s v="ba05baf"/>
    <x v="0"/>
    <x v="4"/>
    <s v="medium"/>
    <n v="6.4"/>
    <n v="1"/>
    <n v="7562"/>
    <n v="83"/>
    <n v="4"/>
    <n v="2"/>
  </r>
  <r>
    <s v="20260603_100445_master_ba05baf_haiku.json"/>
    <n v="20260603"/>
    <x v="0"/>
    <x v="0"/>
    <s v="ba05baf"/>
    <x v="0"/>
    <x v="5"/>
    <s v="medium"/>
    <n v="8.4499999999999993"/>
    <n v="1"/>
    <n v="7530"/>
    <n v="135"/>
    <n v="5"/>
    <n v="5"/>
  </r>
  <r>
    <s v="20260603_100445_master_ba05baf_haiku.json"/>
    <n v="20260603"/>
    <x v="0"/>
    <x v="0"/>
    <s v="ba05baf"/>
    <x v="0"/>
    <x v="6"/>
    <s v="complex"/>
    <n v="7.57"/>
    <n v="1"/>
    <n v="6915"/>
    <n v="211"/>
    <n v="4"/>
    <n v="2"/>
  </r>
  <r>
    <s v="20260603_100445_master_ba05baf_haiku.json"/>
    <n v="20260603"/>
    <x v="0"/>
    <x v="0"/>
    <s v="ba05baf"/>
    <x v="0"/>
    <x v="7"/>
    <s v="medium"/>
    <n v="6.61"/>
    <n v="1"/>
    <n v="6983"/>
    <n v="107"/>
    <n v="5"/>
    <n v="5"/>
  </r>
  <r>
    <s v="20260603_100445_master_ba05baf_haiku.json"/>
    <n v="20260603"/>
    <x v="0"/>
    <x v="0"/>
    <s v="ba05baf"/>
    <x v="0"/>
    <x v="8"/>
    <s v="complex"/>
    <n v="14.34"/>
    <n v="2"/>
    <n v="7348"/>
    <n v="391"/>
    <n v="5"/>
    <n v="5"/>
  </r>
  <r>
    <s v="20260603_100445_master_ba05baf_haiku.json"/>
    <n v="20260603"/>
    <x v="0"/>
    <x v="0"/>
    <s v="ba05baf"/>
    <x v="0"/>
    <x v="9"/>
    <s v="complex"/>
    <n v="13.95"/>
    <n v="1"/>
    <n v="10449"/>
    <n v="517"/>
    <n v="4"/>
    <n v="4"/>
  </r>
  <r>
    <s v="20260603_1109_master_04be6c5_haiku.json"/>
    <n v="20260603"/>
    <x v="1"/>
    <x v="0"/>
    <s v="04be6c5"/>
    <x v="0"/>
    <x v="0"/>
    <s v="simple"/>
    <n v="9.07"/>
    <n v="2"/>
    <n v="8533"/>
    <n v="134"/>
    <n v="5"/>
    <n v="5"/>
  </r>
  <r>
    <s v="20260603_1109_master_04be6c5_haiku.json"/>
    <n v="20260603"/>
    <x v="1"/>
    <x v="0"/>
    <s v="04be6c5"/>
    <x v="0"/>
    <x v="1"/>
    <s v="simple"/>
    <n v="7.8"/>
    <n v="1"/>
    <n v="7470"/>
    <n v="231"/>
    <n v="5"/>
    <n v="4"/>
  </r>
  <r>
    <s v="20260603_1109_master_04be6c5_haiku.json"/>
    <n v="20260603"/>
    <x v="1"/>
    <x v="0"/>
    <s v="04be6c5"/>
    <x v="0"/>
    <x v="2"/>
    <s v="simple"/>
    <n v="6.48"/>
    <n v="1"/>
    <n v="6973"/>
    <n v="74"/>
    <n v="5"/>
    <n v="5"/>
  </r>
  <r>
    <s v="20260603_1109_master_04be6c5_haiku.json"/>
    <n v="20260603"/>
    <x v="1"/>
    <x v="0"/>
    <s v="04be6c5"/>
    <x v="0"/>
    <x v="3"/>
    <s v="medium"/>
    <n v="10.199999999999999"/>
    <n v="2"/>
    <n v="6707"/>
    <n v="247"/>
    <n v="5"/>
    <n v="2"/>
  </r>
  <r>
    <s v="20260603_1109_master_04be6c5_haiku.json"/>
    <n v="20260603"/>
    <x v="1"/>
    <x v="0"/>
    <s v="04be6c5"/>
    <x v="0"/>
    <x v="4"/>
    <s v="medium"/>
    <n v="6.42"/>
    <n v="1"/>
    <n v="7557"/>
    <n v="92"/>
    <n v="4"/>
    <n v="2"/>
  </r>
  <r>
    <s v="20260603_1109_master_04be6c5_haiku.json"/>
    <n v="20260603"/>
    <x v="1"/>
    <x v="0"/>
    <s v="04be6c5"/>
    <x v="0"/>
    <x v="5"/>
    <s v="medium"/>
    <n v="6.97"/>
    <n v="1"/>
    <n v="7530"/>
    <n v="128"/>
    <n v="5"/>
    <n v="5"/>
  </r>
  <r>
    <s v="20260603_1109_master_04be6c5_haiku.json"/>
    <n v="20260603"/>
    <x v="1"/>
    <x v="0"/>
    <s v="04be6c5"/>
    <x v="0"/>
    <x v="6"/>
    <s v="complex"/>
    <n v="7.56"/>
    <n v="1"/>
    <n v="6934"/>
    <n v="186"/>
    <n v="4"/>
    <n v="2"/>
  </r>
  <r>
    <s v="20260603_1109_master_04be6c5_haiku.json"/>
    <n v="20260603"/>
    <x v="1"/>
    <x v="0"/>
    <s v="04be6c5"/>
    <x v="0"/>
    <x v="7"/>
    <s v="medium"/>
    <n v="6.83"/>
    <n v="1"/>
    <n v="6983"/>
    <n v="109"/>
    <n v="5"/>
    <n v="4"/>
  </r>
  <r>
    <s v="20260603_1109_master_04be6c5_haiku.json"/>
    <n v="20260603"/>
    <x v="1"/>
    <x v="0"/>
    <s v="04be6c5"/>
    <x v="0"/>
    <x v="8"/>
    <s v="complex"/>
    <n v="10.27"/>
    <n v="2"/>
    <n v="7348"/>
    <n v="282"/>
    <n v="4"/>
    <n v="2"/>
  </r>
  <r>
    <s v="20260603_1109_master_04be6c5_haiku.json"/>
    <n v="20260603"/>
    <x v="1"/>
    <x v="0"/>
    <s v="04be6c5"/>
    <x v="0"/>
    <x v="9"/>
    <s v="complex"/>
    <n v="11.18"/>
    <n v="1"/>
    <n v="10449"/>
    <n v="421"/>
    <n v="5"/>
    <n v="5"/>
  </r>
  <r>
    <s v="20260604_1410_master_2da3861_haiku.json"/>
    <n v="20260604"/>
    <x v="2"/>
    <x v="0"/>
    <s v="2da3861"/>
    <x v="0"/>
    <x v="0"/>
    <s v="simple"/>
    <n v="11.1"/>
    <n v="2"/>
    <n v="8533"/>
    <n v="137"/>
    <n v="5"/>
    <n v="4"/>
  </r>
  <r>
    <s v="20260604_1410_master_2da3861_haiku.json"/>
    <n v="20260604"/>
    <x v="2"/>
    <x v="0"/>
    <s v="2da3861"/>
    <x v="0"/>
    <x v="1"/>
    <s v="simple"/>
    <n v="8.43"/>
    <n v="1"/>
    <n v="7070"/>
    <n v="263"/>
    <n v="5"/>
    <n v="4"/>
  </r>
  <r>
    <s v="20260604_1410_master_2da3861_haiku.json"/>
    <n v="20260604"/>
    <x v="2"/>
    <x v="0"/>
    <s v="2da3861"/>
    <x v="0"/>
    <x v="2"/>
    <s v="simple"/>
    <n v="6.73"/>
    <n v="1"/>
    <n v="6973"/>
    <n v="73"/>
    <n v="5"/>
    <n v="5"/>
  </r>
  <r>
    <s v="20260604_1410_master_2da3861_haiku.json"/>
    <n v="20260604"/>
    <x v="2"/>
    <x v="0"/>
    <s v="2da3861"/>
    <x v="0"/>
    <x v="3"/>
    <s v="medium"/>
    <n v="11.39"/>
    <n v="2"/>
    <n v="6704"/>
    <n v="275"/>
    <n v="4"/>
    <n v="2"/>
  </r>
  <r>
    <s v="20260604_1410_master_2da3861_haiku.json"/>
    <n v="20260604"/>
    <x v="2"/>
    <x v="0"/>
    <s v="2da3861"/>
    <x v="0"/>
    <x v="4"/>
    <s v="medium"/>
    <n v="10.55"/>
    <n v="1"/>
    <n v="7557"/>
    <n v="72"/>
    <n v="5"/>
    <n v="4"/>
  </r>
  <r>
    <s v="20260604_1410_master_2da3861_haiku.json"/>
    <n v="20260604"/>
    <x v="2"/>
    <x v="0"/>
    <s v="2da3861"/>
    <x v="0"/>
    <x v="5"/>
    <s v="medium"/>
    <n v="7.69"/>
    <n v="1"/>
    <n v="7530"/>
    <n v="128"/>
    <n v="5"/>
    <n v="5"/>
  </r>
  <r>
    <s v="20260604_1410_master_2da3861_haiku.json"/>
    <n v="20260604"/>
    <x v="2"/>
    <x v="0"/>
    <s v="2da3861"/>
    <x v="0"/>
    <x v="6"/>
    <s v="complex"/>
    <n v="7.86"/>
    <n v="1"/>
    <n v="6915"/>
    <n v="208"/>
    <n v="4"/>
    <n v="2"/>
  </r>
  <r>
    <s v="20260604_1410_master_2da3861_haiku.json"/>
    <n v="20260604"/>
    <x v="2"/>
    <x v="0"/>
    <s v="2da3861"/>
    <x v="0"/>
    <x v="7"/>
    <s v="medium"/>
    <n v="7.35"/>
    <n v="1"/>
    <n v="6983"/>
    <n v="108"/>
    <n v="5"/>
    <n v="4"/>
  </r>
  <r>
    <s v="20260604_1410_master_2da3861_haiku.json"/>
    <n v="20260604"/>
    <x v="2"/>
    <x v="0"/>
    <s v="2da3861"/>
    <x v="0"/>
    <x v="8"/>
    <s v="complex"/>
    <n v="13.91"/>
    <n v="2"/>
    <n v="7338"/>
    <n v="350"/>
    <n v="4"/>
    <n v="2"/>
  </r>
  <r>
    <s v="20260604_1410_master_2da3861_haiku.json"/>
    <n v="20260604"/>
    <x v="2"/>
    <x v="0"/>
    <s v="2da3861"/>
    <x v="0"/>
    <x v="9"/>
    <s v="complex"/>
    <n v="14.36"/>
    <n v="2"/>
    <n v="10634"/>
    <n v="587"/>
    <n v="5"/>
    <n v="4"/>
  </r>
  <r>
    <s v="20260604_1426_master_2da3861_haiku.json"/>
    <n v="20260604"/>
    <x v="3"/>
    <x v="0"/>
    <s v="2da3861"/>
    <x v="0"/>
    <x v="0"/>
    <s v="simple"/>
    <n v="8.94"/>
    <n v="2"/>
    <n v="8739"/>
    <n v="137"/>
    <n v="5"/>
    <n v="5"/>
  </r>
  <r>
    <s v="20260604_1426_master_2da3861_haiku.json"/>
    <n v="20260604"/>
    <x v="3"/>
    <x v="0"/>
    <s v="2da3861"/>
    <x v="0"/>
    <x v="1"/>
    <s v="simple"/>
    <n v="7.97"/>
    <n v="1"/>
    <n v="7676"/>
    <n v="228"/>
    <n v="4"/>
    <n v="4"/>
  </r>
  <r>
    <s v="20260604_1426_master_2da3861_haiku.json"/>
    <n v="20260604"/>
    <x v="3"/>
    <x v="0"/>
    <s v="2da3861"/>
    <x v="0"/>
    <x v="2"/>
    <s v="simple"/>
    <n v="5.85"/>
    <n v="1"/>
    <n v="7179"/>
    <n v="73"/>
    <n v="5"/>
    <n v="5"/>
  </r>
  <r>
    <s v="20260604_1426_master_2da3861_haiku.json"/>
    <n v="20260604"/>
    <x v="3"/>
    <x v="0"/>
    <s v="2da3861"/>
    <x v="0"/>
    <x v="3"/>
    <s v="medium"/>
    <n v="11.07"/>
    <n v="2"/>
    <n v="6910"/>
    <n v="247"/>
    <n v="4"/>
    <n v="3"/>
  </r>
  <r>
    <s v="20260604_1426_master_2da3861_haiku.json"/>
    <n v="20260604"/>
    <x v="3"/>
    <x v="0"/>
    <s v="2da3861"/>
    <x v="0"/>
    <x v="4"/>
    <s v="medium"/>
    <n v="6.4"/>
    <n v="1"/>
    <n v="7763"/>
    <n v="82"/>
    <n v="4"/>
    <n v="4"/>
  </r>
  <r>
    <s v="20260604_1426_master_2da3861_haiku.json"/>
    <n v="20260604"/>
    <x v="3"/>
    <x v="0"/>
    <s v="2da3861"/>
    <x v="0"/>
    <x v="5"/>
    <s v="medium"/>
    <n v="8.7200000000000006"/>
    <n v="1"/>
    <n v="7736"/>
    <n v="135"/>
    <n v="5"/>
    <n v="5"/>
  </r>
  <r>
    <s v="20260604_1426_master_2da3861_haiku.json"/>
    <n v="20260604"/>
    <x v="3"/>
    <x v="0"/>
    <s v="2da3861"/>
    <x v="0"/>
    <x v="6"/>
    <s v="complex"/>
    <n v="9.01"/>
    <n v="1"/>
    <n v="7095"/>
    <n v="160"/>
    <n v="5"/>
    <n v="5"/>
  </r>
  <r>
    <s v="20260604_1426_master_2da3861_haiku.json"/>
    <n v="20260604"/>
    <x v="3"/>
    <x v="0"/>
    <s v="2da3861"/>
    <x v="0"/>
    <x v="7"/>
    <s v="medium"/>
    <n v="6.54"/>
    <n v="1"/>
    <n v="7189"/>
    <n v="103"/>
    <n v="4"/>
    <n v="2"/>
  </r>
  <r>
    <s v="20260604_1426_master_2da3861_haiku.json"/>
    <n v="20260604"/>
    <x v="3"/>
    <x v="0"/>
    <s v="2da3861"/>
    <x v="0"/>
    <x v="8"/>
    <s v="complex"/>
    <n v="14.15"/>
    <n v="2"/>
    <n v="7600"/>
    <n v="429"/>
    <n v="5"/>
    <n v="5"/>
  </r>
  <r>
    <s v="20260604_1426_master_2da3861_haiku.json"/>
    <n v="20260604"/>
    <x v="3"/>
    <x v="0"/>
    <s v="2da3861"/>
    <x v="0"/>
    <x v="9"/>
    <s v="complex"/>
    <n v="12.17"/>
    <n v="1"/>
    <n v="10655"/>
    <n v="506"/>
    <n v="4"/>
    <n v="2"/>
  </r>
  <r>
    <s v="20260604_1522_master_369088d_haiku.json"/>
    <n v="20260604"/>
    <x v="4"/>
    <x v="0"/>
    <s v="369088d"/>
    <x v="0"/>
    <x v="0"/>
    <s v="simple"/>
    <n v="11.97"/>
    <n v="2"/>
    <n v="8739"/>
    <n v="137"/>
    <n v="5"/>
    <n v="5"/>
  </r>
  <r>
    <s v="20260604_1522_master_369088d_haiku.json"/>
    <n v="20260604"/>
    <x v="4"/>
    <x v="0"/>
    <s v="369088d"/>
    <x v="0"/>
    <x v="1"/>
    <s v="simple"/>
    <n v="7.97"/>
    <n v="1"/>
    <n v="7676"/>
    <n v="234"/>
    <n v="4"/>
    <n v="4"/>
  </r>
  <r>
    <s v="20260604_1522_master_369088d_haiku.json"/>
    <n v="20260604"/>
    <x v="4"/>
    <x v="0"/>
    <s v="369088d"/>
    <x v="0"/>
    <x v="2"/>
    <s v="simple"/>
    <n v="6.23"/>
    <n v="1"/>
    <n v="7179"/>
    <n v="74"/>
    <n v="5"/>
    <n v="5"/>
  </r>
  <r>
    <s v="20260604_1522_master_369088d_haiku.json"/>
    <n v="20260604"/>
    <x v="4"/>
    <x v="0"/>
    <s v="369088d"/>
    <x v="0"/>
    <x v="3"/>
    <s v="medium"/>
    <n v="11.54"/>
    <n v="2"/>
    <n v="6924"/>
    <n v="261"/>
    <n v="4"/>
    <n v="3"/>
  </r>
  <r>
    <s v="20260604_1522_master_369088d_haiku.json"/>
    <n v="20260604"/>
    <x v="4"/>
    <x v="0"/>
    <s v="369088d"/>
    <x v="0"/>
    <x v="4"/>
    <s v="medium"/>
    <n v="6.74"/>
    <n v="1"/>
    <n v="7763"/>
    <n v="81"/>
    <n v="5"/>
    <n v="5"/>
  </r>
  <r>
    <s v="20260604_1522_master_369088d_haiku.json"/>
    <n v="20260604"/>
    <x v="4"/>
    <x v="0"/>
    <s v="369088d"/>
    <x v="0"/>
    <x v="5"/>
    <s v="medium"/>
    <n v="8.1999999999999993"/>
    <n v="1"/>
    <n v="7750"/>
    <n v="153"/>
    <n v="5"/>
    <n v="5"/>
  </r>
  <r>
    <s v="20260604_1522_master_369088d_haiku.json"/>
    <n v="20260604"/>
    <x v="4"/>
    <x v="0"/>
    <s v="369088d"/>
    <x v="0"/>
    <x v="6"/>
    <s v="complex"/>
    <n v="10.48"/>
    <n v="1"/>
    <n v="7095"/>
    <n v="201"/>
    <n v="4"/>
    <n v="2"/>
  </r>
  <r>
    <s v="20260604_1522_master_369088d_haiku.json"/>
    <n v="20260604"/>
    <x v="4"/>
    <x v="0"/>
    <s v="369088d"/>
    <x v="0"/>
    <x v="7"/>
    <s v="medium"/>
    <n v="6.3"/>
    <n v="1"/>
    <n v="7189"/>
    <n v="108"/>
    <n v="4"/>
    <n v="2"/>
  </r>
  <r>
    <s v="20260604_1522_master_369088d_haiku.json"/>
    <n v="20260604"/>
    <x v="4"/>
    <x v="0"/>
    <s v="369088d"/>
    <x v="0"/>
    <x v="8"/>
    <s v="complex"/>
    <n v="13.81"/>
    <n v="2"/>
    <n v="7600"/>
    <n v="396"/>
    <n v="5"/>
    <n v="4"/>
  </r>
  <r>
    <s v="20260604_1522_master_369088d_haiku.json"/>
    <n v="20260604"/>
    <x v="4"/>
    <x v="0"/>
    <s v="369088d"/>
    <x v="0"/>
    <x v="9"/>
    <s v="complex"/>
    <n v="12.07"/>
    <n v="1"/>
    <n v="10655"/>
    <n v="520"/>
    <n v="4"/>
    <n v="2"/>
  </r>
  <r>
    <s v="20260604_1527_master_369088d_sonnet.json"/>
    <n v="20260604"/>
    <x v="5"/>
    <x v="0"/>
    <s v="369088d"/>
    <x v="1"/>
    <x v="0"/>
    <s v="simple"/>
    <n v="13.28"/>
    <n v="2"/>
    <n v="8739"/>
    <n v="137"/>
    <n v="5"/>
    <n v="5"/>
  </r>
  <r>
    <s v="20260604_1527_master_369088d_sonnet.json"/>
    <n v="20260604"/>
    <x v="5"/>
    <x v="0"/>
    <s v="369088d"/>
    <x v="1"/>
    <x v="1"/>
    <s v="simple"/>
    <n v="7.93"/>
    <n v="1"/>
    <n v="7676"/>
    <n v="236"/>
    <n v="4"/>
    <n v="4"/>
  </r>
  <r>
    <s v="20260604_1527_master_369088d_sonnet.json"/>
    <n v="20260604"/>
    <x v="5"/>
    <x v="0"/>
    <s v="369088d"/>
    <x v="1"/>
    <x v="2"/>
    <s v="simple"/>
    <n v="9.26"/>
    <n v="1"/>
    <n v="7179"/>
    <n v="73"/>
    <n v="4"/>
    <n v="5"/>
  </r>
  <r>
    <s v="20260604_1527_master_369088d_sonnet.json"/>
    <n v="20260604"/>
    <x v="5"/>
    <x v="0"/>
    <s v="369088d"/>
    <x v="1"/>
    <x v="3"/>
    <s v="medium"/>
    <n v="10.42"/>
    <n v="2"/>
    <n v="6910"/>
    <n v="243"/>
    <n v="4"/>
    <n v="3"/>
  </r>
  <r>
    <s v="20260604_1527_master_369088d_sonnet.json"/>
    <n v="20260604"/>
    <x v="5"/>
    <x v="0"/>
    <s v="369088d"/>
    <x v="1"/>
    <x v="4"/>
    <s v="medium"/>
    <n v="6.07"/>
    <n v="1"/>
    <n v="7763"/>
    <n v="79"/>
    <n v="4"/>
    <n v="5"/>
  </r>
  <r>
    <s v="20260604_1527_master_369088d_sonnet.json"/>
    <n v="20260604"/>
    <x v="5"/>
    <x v="0"/>
    <s v="369088d"/>
    <x v="1"/>
    <x v="5"/>
    <s v="medium"/>
    <n v="7.35"/>
    <n v="1"/>
    <n v="7736"/>
    <n v="129"/>
    <n v="5"/>
    <n v="5"/>
  </r>
  <r>
    <s v="20260604_1527_master_369088d_sonnet.json"/>
    <n v="20260604"/>
    <x v="5"/>
    <x v="0"/>
    <s v="369088d"/>
    <x v="1"/>
    <x v="6"/>
    <s v="complex"/>
    <n v="7.61"/>
    <n v="1"/>
    <n v="7114"/>
    <n v="183"/>
    <n v="4"/>
    <n v="5"/>
  </r>
  <r>
    <s v="20260604_1527_master_369088d_sonnet.json"/>
    <n v="20260604"/>
    <x v="5"/>
    <x v="0"/>
    <s v="369088d"/>
    <x v="1"/>
    <x v="7"/>
    <s v="medium"/>
    <n v="6.6"/>
    <n v="1"/>
    <n v="7189"/>
    <n v="101"/>
    <n v="5"/>
    <n v="5"/>
  </r>
  <r>
    <s v="20260604_1527_master_369088d_sonnet.json"/>
    <n v="20260604"/>
    <x v="5"/>
    <x v="0"/>
    <s v="369088d"/>
    <x v="1"/>
    <x v="8"/>
    <s v="complex"/>
    <n v="14.1"/>
    <n v="2"/>
    <n v="7600"/>
    <n v="448"/>
    <n v="4"/>
    <n v="5"/>
  </r>
  <r>
    <s v="20260604_1527_master_369088d_sonnet.json"/>
    <n v="20260604"/>
    <x v="5"/>
    <x v="0"/>
    <s v="369088d"/>
    <x v="1"/>
    <x v="9"/>
    <s v="complex"/>
    <n v="11.99"/>
    <n v="1"/>
    <n v="10655"/>
    <n v="456"/>
    <n v="4"/>
    <n v="3"/>
  </r>
  <r>
    <s v="20260604_1538_claude-backend-rest-api-check-RYSua_0e64557_sonnet.json"/>
    <n v="20260604"/>
    <x v="6"/>
    <x v="1"/>
    <s v="0e64557"/>
    <x v="1"/>
    <x v="0"/>
    <s v="simple"/>
    <n v="6.81"/>
    <n v="2"/>
    <n v="8251"/>
    <n v="197"/>
    <n v="4"/>
    <n v="5"/>
  </r>
  <r>
    <s v="20260604_1538_claude-backend-rest-api-check-RYSua_0e64557_sonnet.json"/>
    <n v="20260604"/>
    <x v="6"/>
    <x v="1"/>
    <s v="0e64557"/>
    <x v="1"/>
    <x v="1"/>
    <s v="simple"/>
    <n v="8.82"/>
    <n v="2"/>
    <n v="8523"/>
    <n v="401"/>
    <n v="4"/>
    <n v="5"/>
  </r>
  <r>
    <s v="20260604_1538_claude-backend-rest-api-check-RYSua_0e64557_sonnet.json"/>
    <n v="20260604"/>
    <x v="6"/>
    <x v="1"/>
    <s v="0e64557"/>
    <x v="1"/>
    <x v="2"/>
    <s v="simple"/>
    <n v="9.92"/>
    <n v="3"/>
    <n v="10864"/>
    <n v="263"/>
    <n v="3"/>
    <n v="5"/>
  </r>
  <r>
    <s v="20260604_1538_claude-backend-rest-api-check-RYSua_0e64557_sonnet.json"/>
    <n v="20260604"/>
    <x v="6"/>
    <x v="1"/>
    <s v="0e64557"/>
    <x v="1"/>
    <x v="3"/>
    <s v="medium"/>
    <n v="9.42"/>
    <n v="2"/>
    <n v="7958"/>
    <n v="324"/>
    <n v="4"/>
    <n v="2"/>
  </r>
  <r>
    <s v="20260604_1538_claude-backend-rest-api-check-RYSua_0e64557_sonnet.json"/>
    <n v="20260604"/>
    <x v="6"/>
    <x v="1"/>
    <s v="0e64557"/>
    <x v="1"/>
    <x v="4"/>
    <s v="medium"/>
    <n v="7.18"/>
    <n v="2"/>
    <n v="8347"/>
    <n v="226"/>
    <n v="3"/>
    <n v="2"/>
  </r>
  <r>
    <s v="20260604_1538_claude-backend-rest-api-check-RYSua_0e64557_sonnet.json"/>
    <n v="20260604"/>
    <x v="6"/>
    <x v="1"/>
    <s v="0e64557"/>
    <x v="1"/>
    <x v="5"/>
    <s v="medium"/>
    <n v="12.69"/>
    <n v="4"/>
    <n v="13755"/>
    <n v="485"/>
    <n v="5"/>
    <n v="5"/>
  </r>
  <r>
    <s v="20260604_1538_claude-backend-rest-api-check-RYSua_0e64557_sonnet.json"/>
    <n v="20260604"/>
    <x v="6"/>
    <x v="1"/>
    <s v="0e64557"/>
    <x v="1"/>
    <x v="6"/>
    <s v="complex"/>
    <n v="31.77"/>
    <n v="6"/>
    <n v="26201"/>
    <n v="1404"/>
    <n v="3"/>
    <n v="4"/>
  </r>
  <r>
    <s v="20260604_1538_claude-backend-rest-api-check-RYSua_0e64557_sonnet.json"/>
    <n v="20260604"/>
    <x v="6"/>
    <x v="1"/>
    <s v="0e64557"/>
    <x v="1"/>
    <x v="7"/>
    <s v="medium"/>
    <n v="11.7"/>
    <n v="2"/>
    <n v="7913"/>
    <n v="213"/>
    <n v="4"/>
    <n v="5"/>
  </r>
  <r>
    <s v="20260604_1538_claude-backend-rest-api-check-RYSua_0e64557_sonnet.json"/>
    <n v="20260604"/>
    <x v="6"/>
    <x v="1"/>
    <s v="0e64557"/>
    <x v="1"/>
    <x v="8"/>
    <s v="complex"/>
    <n v="20.77"/>
    <n v="4"/>
    <n v="11408"/>
    <n v="612"/>
    <n v="4"/>
    <n v="5"/>
  </r>
  <r>
    <s v="20260604_1538_claude-backend-rest-api-check-RYSua_0e64557_sonnet.json"/>
    <n v="20260604"/>
    <x v="6"/>
    <x v="1"/>
    <s v="0e64557"/>
    <x v="1"/>
    <x v="9"/>
    <s v="complex"/>
    <n v="45.91"/>
    <n v="6"/>
    <n v="24194"/>
    <n v="1183"/>
    <n v="3"/>
    <n v="3"/>
  </r>
  <r>
    <s v="20260612_1049_claude-ecstatic-franklin-2kj5ml_7e8f0a5_sonnet.json"/>
    <n v="20260612"/>
    <x v="7"/>
    <x v="2"/>
    <s v="7e8f0a5"/>
    <x v="1"/>
    <x v="0"/>
    <s v="simple"/>
    <n v="6.15"/>
    <n v="1"/>
    <n v="11306"/>
    <n v="145"/>
    <n v="4"/>
    <n v="5"/>
  </r>
  <r>
    <s v="20260612_1049_claude-ecstatic-franklin-2kj5ml_7e8f0a5_sonnet.json"/>
    <n v="20260612"/>
    <x v="7"/>
    <x v="2"/>
    <s v="7e8f0a5"/>
    <x v="1"/>
    <x v="1"/>
    <s v="simple"/>
    <n v="7.39"/>
    <n v="1"/>
    <n v="11664"/>
    <n v="419"/>
    <n v="4"/>
    <n v="5"/>
  </r>
  <r>
    <s v="20260612_1049_claude-ecstatic-franklin-2kj5ml_7e8f0a5_sonnet.json"/>
    <n v="20260612"/>
    <x v="7"/>
    <x v="2"/>
    <s v="7e8f0a5"/>
    <x v="1"/>
    <x v="2"/>
    <s v="simple"/>
    <n v="6.04"/>
    <n v="1"/>
    <n v="11492"/>
    <n v="174"/>
    <n v="3"/>
    <n v="5"/>
  </r>
  <r>
    <s v="20260612_1049_claude-ecstatic-franklin-2kj5ml_7e8f0a5_sonnet.json"/>
    <n v="20260612"/>
    <x v="7"/>
    <x v="2"/>
    <s v="7e8f0a5"/>
    <x v="1"/>
    <x v="3"/>
    <s v="medium"/>
    <n v="6.93"/>
    <n v="2"/>
    <n v="11691"/>
    <n v="268"/>
    <n v="3"/>
    <n v="2"/>
  </r>
  <r>
    <s v="20260612_1049_claude-ecstatic-franklin-2kj5ml_7e8f0a5_sonnet.json"/>
    <n v="20260612"/>
    <x v="7"/>
    <x v="2"/>
    <s v="7e8f0a5"/>
    <x v="1"/>
    <x v="4"/>
    <s v="medium"/>
    <n v="6.42"/>
    <n v="1"/>
    <n v="11778"/>
    <n v="255"/>
    <n v="4"/>
    <n v="5"/>
  </r>
  <r>
    <s v="20260612_1049_claude-ecstatic-franklin-2kj5ml_7e8f0a5_sonnet.json"/>
    <n v="20260612"/>
    <x v="7"/>
    <x v="2"/>
    <s v="7e8f0a5"/>
    <x v="1"/>
    <x v="5"/>
    <s v="medium"/>
    <n v="5.22"/>
    <n v="1"/>
    <n v="11465"/>
    <n v="168"/>
    <n v="5"/>
    <n v="5"/>
  </r>
  <r>
    <s v="20260612_1049_claude-ecstatic-franklin-2kj5ml_7e8f0a5_sonnet.json"/>
    <n v="20260612"/>
    <x v="7"/>
    <x v="2"/>
    <s v="7e8f0a5"/>
    <x v="1"/>
    <x v="6"/>
    <s v="complex"/>
    <n v="6.81"/>
    <n v="2"/>
    <n v="11743"/>
    <n v="292"/>
    <n v="4"/>
    <n v="5"/>
  </r>
  <r>
    <s v="20260612_1049_claude-ecstatic-franklin-2kj5ml_7e8f0a5_sonnet.json"/>
    <n v="20260612"/>
    <x v="7"/>
    <x v="2"/>
    <s v="7e8f0a5"/>
    <x v="1"/>
    <x v="7"/>
    <s v="medium"/>
    <n v="5.61"/>
    <n v="1"/>
    <n v="11647"/>
    <n v="181"/>
    <n v="2"/>
    <n v="1"/>
  </r>
  <r>
    <s v="20260612_1049_claude-ecstatic-franklin-2kj5ml_7e8f0a5_sonnet.json"/>
    <n v="20260612"/>
    <x v="7"/>
    <x v="2"/>
    <s v="7e8f0a5"/>
    <x v="1"/>
    <x v="8"/>
    <s v="complex"/>
    <n v="8.33"/>
    <n v="2"/>
    <n v="11879"/>
    <n v="393"/>
    <n v="5"/>
    <n v="5"/>
  </r>
  <r>
    <s v="20260612_1049_claude-ecstatic-franklin-2kj5ml_7e8f0a5_sonnet.json"/>
    <n v="20260612"/>
    <x v="7"/>
    <x v="2"/>
    <s v="7e8f0a5"/>
    <x v="1"/>
    <x v="9"/>
    <s v="complex"/>
    <n v="7.46"/>
    <n v="1"/>
    <n v="11733"/>
    <n v="386"/>
    <n v="4"/>
    <n v="4"/>
  </r>
  <r>
    <s v="20260612_1111_claude-ecstatic-franklin-2kj5ml_7e8f0a5_sonnet.json"/>
    <n v="20260612"/>
    <x v="8"/>
    <x v="2"/>
    <s v="7e8f0a5"/>
    <x v="1"/>
    <x v="0"/>
    <s v="simple"/>
    <n v="5.84"/>
    <n v="1"/>
    <n v="11306"/>
    <n v="143"/>
    <n v="5"/>
    <n v="5"/>
  </r>
  <r>
    <s v="20260612_1111_claude-ecstatic-franklin-2kj5ml_7e8f0a5_sonnet.json"/>
    <n v="20260612"/>
    <x v="8"/>
    <x v="2"/>
    <s v="7e8f0a5"/>
    <x v="1"/>
    <x v="1"/>
    <s v="simple"/>
    <n v="7.94"/>
    <n v="1"/>
    <n v="11731"/>
    <n v="433"/>
    <n v="4"/>
    <n v="5"/>
  </r>
  <r>
    <s v="20260612_1111_claude-ecstatic-franklin-2kj5ml_7e8f0a5_sonnet.json"/>
    <n v="20260612"/>
    <x v="8"/>
    <x v="2"/>
    <s v="7e8f0a5"/>
    <x v="1"/>
    <x v="2"/>
    <s v="simple"/>
    <n v="5.38"/>
    <n v="1"/>
    <n v="11512"/>
    <n v="161"/>
    <n v="5"/>
    <n v="5"/>
  </r>
  <r>
    <s v="20260612_1111_claude-ecstatic-franklin-2kj5ml_7e8f0a5_sonnet.json"/>
    <n v="20260612"/>
    <x v="8"/>
    <x v="2"/>
    <s v="7e8f0a5"/>
    <x v="1"/>
    <x v="3"/>
    <s v="medium"/>
    <n v="6.72"/>
    <n v="2"/>
    <n v="11691"/>
    <n v="268"/>
    <n v="4"/>
    <n v="2"/>
  </r>
  <r>
    <s v="20260612_1111_claude-ecstatic-franklin-2kj5ml_7e8f0a5_sonnet.json"/>
    <n v="20260612"/>
    <x v="8"/>
    <x v="2"/>
    <s v="7e8f0a5"/>
    <x v="1"/>
    <x v="4"/>
    <s v="medium"/>
    <n v="6.17"/>
    <n v="1"/>
    <n v="11778"/>
    <n v="255"/>
    <n v="5"/>
    <n v="5"/>
  </r>
  <r>
    <s v="20260612_1111_claude-ecstatic-franklin-2kj5ml_7e8f0a5_sonnet.json"/>
    <n v="20260612"/>
    <x v="8"/>
    <x v="2"/>
    <s v="7e8f0a5"/>
    <x v="1"/>
    <x v="5"/>
    <s v="medium"/>
    <n v="5.6"/>
    <n v="1"/>
    <n v="11465"/>
    <n v="171"/>
    <n v="5"/>
    <n v="5"/>
  </r>
  <r>
    <s v="20260612_1111_claude-ecstatic-franklin-2kj5ml_7e8f0a5_sonnet.json"/>
    <n v="20260612"/>
    <x v="8"/>
    <x v="2"/>
    <s v="7e8f0a5"/>
    <x v="1"/>
    <x v="6"/>
    <s v="complex"/>
    <n v="6.26"/>
    <n v="2"/>
    <n v="11743"/>
    <n v="296"/>
    <n v="5"/>
    <n v="5"/>
  </r>
  <r>
    <s v="20260612_1111_claude-ecstatic-franklin-2kj5ml_7e8f0a5_sonnet.json"/>
    <n v="20260612"/>
    <x v="8"/>
    <x v="2"/>
    <s v="7e8f0a5"/>
    <x v="1"/>
    <x v="7"/>
    <s v="medium"/>
    <n v="5.51"/>
    <n v="1"/>
    <n v="11647"/>
    <n v="181"/>
    <n v="2"/>
    <n v="1"/>
  </r>
  <r>
    <s v="20260612_1111_claude-ecstatic-franklin-2kj5ml_7e8f0a5_sonnet.json"/>
    <n v="20260612"/>
    <x v="8"/>
    <x v="2"/>
    <s v="7e8f0a5"/>
    <x v="1"/>
    <x v="8"/>
    <s v="complex"/>
    <n v="7.18"/>
    <n v="2"/>
    <n v="11879"/>
    <n v="389"/>
    <n v="5"/>
    <n v="5"/>
  </r>
  <r>
    <s v="20260612_1111_claude-ecstatic-franklin-2kj5ml_7e8f0a5_sonnet.json"/>
    <n v="20260612"/>
    <x v="8"/>
    <x v="2"/>
    <s v="7e8f0a5"/>
    <x v="1"/>
    <x v="9"/>
    <s v="complex"/>
    <n v="6.97"/>
    <n v="1"/>
    <n v="11678"/>
    <n v="342"/>
    <n v="4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F93804-9AE8-4E71-97F4-CBC7ACC83526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1:H32" firstHeaderRow="0" firstDataRow="1" firstDataCol="1" rowPageCount="3" colPageCount="1"/>
  <pivotFields count="14">
    <pivotField showAll="0"/>
    <pivotField showAll="0"/>
    <pivotField axis="axisPage" showAll="0">
      <items count="10">
        <item x="7"/>
        <item x="1"/>
        <item x="8"/>
        <item x="2"/>
        <item x="3"/>
        <item x="4"/>
        <item x="5"/>
        <item x="6"/>
        <item x="0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3">
    <pageField fld="3" item="2" hier="-1"/>
    <pageField fld="5" item="1" hier="-1"/>
    <pageField fld="2" item="2" hier="-1"/>
  </pageFields>
  <dataFields count="6">
    <dataField name="Average of latency_s" fld="8" subtotal="average" baseField="1" baseItem="0" numFmtId="169"/>
    <dataField name="Sum of tool_call_count" fld="9" baseField="0" baseItem="0"/>
    <dataField name="Sum of input_tokens" fld="10" baseField="0" baseItem="0" numFmtId="164"/>
    <dataField name="Sum of output_tokens" fld="11" baseField="0" baseItem="0" numFmtId="164"/>
    <dataField name="Average of quality_score" fld="12" subtotal="average" baseField="1" baseItem="0"/>
    <dataField name="Average of accuracy_judge_score" fld="13" subtotal="average" baseField="1" baseItem="0"/>
  </dataFields>
  <formats count="2"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9881F9-F50F-40F7-B6CA-2C29D4B23474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H15" firstHeaderRow="0" firstDataRow="1" firstDataCol="1" rowPageCount="2" colPageCount="1"/>
  <pivotFields count="14"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item="1" hier="-1"/>
    <pageField fld="5" item="1" hier="-1"/>
  </pageFields>
  <dataFields count="6">
    <dataField name="Average of latency_s" fld="8" subtotal="average" baseField="1" baseItem="0" numFmtId="169"/>
    <dataField name="Sum of tool_call_count" fld="9" baseField="0" baseItem="0"/>
    <dataField name="Sum of input_tokens" fld="10" baseField="0" baseItem="0" numFmtId="164"/>
    <dataField name="Sum of output_tokens" fld="11" baseField="0" baseItem="0" numFmtId="164"/>
    <dataField name="Average of quality_score" fld="12" subtotal="average" baseField="1" baseItem="0"/>
    <dataField name="Average of accuracy_judge_score" fld="13" subtotal="average" baseField="1" baseItem="0"/>
  </dataFields>
  <formats count="2">
    <format dxfId="30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E27C-3F8E-45A6-911F-47DD69A58FE3}">
  <dimension ref="A1:N91"/>
  <sheetViews>
    <sheetView tabSelected="1" topLeftCell="A48" workbookViewId="0">
      <selection activeCell="E61" sqref="E61"/>
    </sheetView>
  </sheetViews>
  <sheetFormatPr defaultRowHeight="14.5" x14ac:dyDescent="0.35"/>
  <cols>
    <col min="1" max="1" width="74.453125" customWidth="1"/>
  </cols>
  <sheetData>
    <row r="1" spans="1:14" x14ac:dyDescent="0.35">
      <c r="A1" t="s">
        <v>0</v>
      </c>
      <c r="B1" t="s">
        <v>26</v>
      </c>
      <c r="C1" t="s">
        <v>27</v>
      </c>
      <c r="D1" t="s">
        <v>28</v>
      </c>
      <c r="E1" t="s">
        <v>46</v>
      </c>
      <c r="F1" t="s">
        <v>47</v>
      </c>
      <c r="G1" t="s">
        <v>1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</row>
    <row r="2" spans="1:14" x14ac:dyDescent="0.35">
      <c r="A2" t="s">
        <v>48</v>
      </c>
      <c r="B2">
        <v>20260603</v>
      </c>
      <c r="C2">
        <v>100445</v>
      </c>
      <c r="D2" t="s">
        <v>29</v>
      </c>
      <c r="E2" t="s">
        <v>49</v>
      </c>
      <c r="F2" t="s">
        <v>34</v>
      </c>
      <c r="G2" t="s">
        <v>10</v>
      </c>
      <c r="H2" t="s">
        <v>11</v>
      </c>
      <c r="I2">
        <v>9.4600000000000009</v>
      </c>
      <c r="J2">
        <v>2</v>
      </c>
      <c r="K2">
        <v>8545</v>
      </c>
      <c r="L2">
        <v>137</v>
      </c>
      <c r="M2">
        <v>5</v>
      </c>
      <c r="N2">
        <v>2</v>
      </c>
    </row>
    <row r="3" spans="1:14" x14ac:dyDescent="0.35">
      <c r="A3" t="s">
        <v>48</v>
      </c>
      <c r="B3">
        <v>20260603</v>
      </c>
      <c r="C3">
        <v>100445</v>
      </c>
      <c r="D3" t="s">
        <v>29</v>
      </c>
      <c r="E3" t="s">
        <v>49</v>
      </c>
      <c r="F3" t="s">
        <v>34</v>
      </c>
      <c r="G3" t="s">
        <v>12</v>
      </c>
      <c r="H3" t="s">
        <v>11</v>
      </c>
      <c r="I3">
        <v>8.58</v>
      </c>
      <c r="J3">
        <v>1</v>
      </c>
      <c r="K3">
        <v>7474</v>
      </c>
      <c r="L3">
        <v>276</v>
      </c>
      <c r="M3">
        <v>5</v>
      </c>
      <c r="N3">
        <v>2</v>
      </c>
    </row>
    <row r="4" spans="1:14" x14ac:dyDescent="0.35">
      <c r="A4" t="s">
        <v>48</v>
      </c>
      <c r="B4">
        <v>20260603</v>
      </c>
      <c r="C4">
        <v>100445</v>
      </c>
      <c r="D4" t="s">
        <v>29</v>
      </c>
      <c r="E4" t="s">
        <v>49</v>
      </c>
      <c r="F4" t="s">
        <v>34</v>
      </c>
      <c r="G4" t="s">
        <v>13</v>
      </c>
      <c r="H4" t="s">
        <v>11</v>
      </c>
      <c r="I4">
        <v>5.36</v>
      </c>
      <c r="J4">
        <v>1</v>
      </c>
      <c r="K4">
        <v>6973</v>
      </c>
      <c r="L4">
        <v>73</v>
      </c>
      <c r="M4">
        <v>5</v>
      </c>
      <c r="N4">
        <v>5</v>
      </c>
    </row>
    <row r="5" spans="1:14" x14ac:dyDescent="0.35">
      <c r="A5" t="s">
        <v>48</v>
      </c>
      <c r="B5">
        <v>20260603</v>
      </c>
      <c r="C5">
        <v>100445</v>
      </c>
      <c r="D5" t="s">
        <v>29</v>
      </c>
      <c r="E5" t="s">
        <v>49</v>
      </c>
      <c r="F5" t="s">
        <v>34</v>
      </c>
      <c r="G5" t="s">
        <v>14</v>
      </c>
      <c r="H5" t="s">
        <v>15</v>
      </c>
      <c r="I5">
        <v>11.85</v>
      </c>
      <c r="J5">
        <v>2</v>
      </c>
      <c r="K5">
        <v>6707</v>
      </c>
      <c r="L5">
        <v>261</v>
      </c>
      <c r="M5">
        <v>5</v>
      </c>
      <c r="N5">
        <v>2</v>
      </c>
    </row>
    <row r="6" spans="1:14" x14ac:dyDescent="0.35">
      <c r="A6" t="s">
        <v>48</v>
      </c>
      <c r="B6">
        <v>20260603</v>
      </c>
      <c r="C6">
        <v>100445</v>
      </c>
      <c r="D6" t="s">
        <v>29</v>
      </c>
      <c r="E6" t="s">
        <v>49</v>
      </c>
      <c r="F6" t="s">
        <v>34</v>
      </c>
      <c r="G6" t="s">
        <v>16</v>
      </c>
      <c r="H6" t="s">
        <v>15</v>
      </c>
      <c r="I6">
        <v>6.4</v>
      </c>
      <c r="J6">
        <v>1</v>
      </c>
      <c r="K6">
        <v>7562</v>
      </c>
      <c r="L6">
        <v>83</v>
      </c>
      <c r="M6">
        <v>4</v>
      </c>
      <c r="N6">
        <v>2</v>
      </c>
    </row>
    <row r="7" spans="1:14" x14ac:dyDescent="0.35">
      <c r="A7" t="s">
        <v>48</v>
      </c>
      <c r="B7">
        <v>20260603</v>
      </c>
      <c r="C7">
        <v>100445</v>
      </c>
      <c r="D7" t="s">
        <v>29</v>
      </c>
      <c r="E7" t="s">
        <v>49</v>
      </c>
      <c r="F7" t="s">
        <v>34</v>
      </c>
      <c r="G7" t="s">
        <v>17</v>
      </c>
      <c r="H7" t="s">
        <v>15</v>
      </c>
      <c r="I7">
        <v>8.4499999999999993</v>
      </c>
      <c r="J7">
        <v>1</v>
      </c>
      <c r="K7">
        <v>7530</v>
      </c>
      <c r="L7">
        <v>135</v>
      </c>
      <c r="M7">
        <v>5</v>
      </c>
      <c r="N7">
        <v>5</v>
      </c>
    </row>
    <row r="8" spans="1:14" x14ac:dyDescent="0.35">
      <c r="A8" t="s">
        <v>48</v>
      </c>
      <c r="B8">
        <v>20260603</v>
      </c>
      <c r="C8">
        <v>100445</v>
      </c>
      <c r="D8" t="s">
        <v>29</v>
      </c>
      <c r="E8" t="s">
        <v>49</v>
      </c>
      <c r="F8" t="s">
        <v>34</v>
      </c>
      <c r="G8" t="s">
        <v>18</v>
      </c>
      <c r="H8" t="s">
        <v>19</v>
      </c>
      <c r="I8">
        <v>7.57</v>
      </c>
      <c r="J8">
        <v>1</v>
      </c>
      <c r="K8">
        <v>6915</v>
      </c>
      <c r="L8">
        <v>211</v>
      </c>
      <c r="M8">
        <v>4</v>
      </c>
      <c r="N8">
        <v>2</v>
      </c>
    </row>
    <row r="9" spans="1:14" x14ac:dyDescent="0.35">
      <c r="A9" t="s">
        <v>48</v>
      </c>
      <c r="B9">
        <v>20260603</v>
      </c>
      <c r="C9">
        <v>100445</v>
      </c>
      <c r="D9" t="s">
        <v>29</v>
      </c>
      <c r="E9" t="s">
        <v>49</v>
      </c>
      <c r="F9" t="s">
        <v>34</v>
      </c>
      <c r="G9" t="s">
        <v>20</v>
      </c>
      <c r="H9" t="s">
        <v>15</v>
      </c>
      <c r="I9">
        <v>6.61</v>
      </c>
      <c r="J9">
        <v>1</v>
      </c>
      <c r="K9">
        <v>6983</v>
      </c>
      <c r="L9">
        <v>107</v>
      </c>
      <c r="M9">
        <v>5</v>
      </c>
      <c r="N9">
        <v>5</v>
      </c>
    </row>
    <row r="10" spans="1:14" x14ac:dyDescent="0.35">
      <c r="A10" t="s">
        <v>48</v>
      </c>
      <c r="B10">
        <v>20260603</v>
      </c>
      <c r="C10">
        <v>100445</v>
      </c>
      <c r="D10" t="s">
        <v>29</v>
      </c>
      <c r="E10" t="s">
        <v>49</v>
      </c>
      <c r="F10" t="s">
        <v>34</v>
      </c>
      <c r="G10" t="s">
        <v>21</v>
      </c>
      <c r="H10" t="s">
        <v>19</v>
      </c>
      <c r="I10">
        <v>14.34</v>
      </c>
      <c r="J10">
        <v>2</v>
      </c>
      <c r="K10">
        <v>7348</v>
      </c>
      <c r="L10">
        <v>391</v>
      </c>
      <c r="M10">
        <v>5</v>
      </c>
      <c r="N10">
        <v>5</v>
      </c>
    </row>
    <row r="11" spans="1:14" x14ac:dyDescent="0.35">
      <c r="A11" t="s">
        <v>48</v>
      </c>
      <c r="B11">
        <v>20260603</v>
      </c>
      <c r="C11">
        <v>100445</v>
      </c>
      <c r="D11" t="s">
        <v>29</v>
      </c>
      <c r="E11" t="s">
        <v>49</v>
      </c>
      <c r="F11" t="s">
        <v>34</v>
      </c>
      <c r="G11" t="s">
        <v>22</v>
      </c>
      <c r="H11" t="s">
        <v>19</v>
      </c>
      <c r="I11">
        <v>13.95</v>
      </c>
      <c r="J11">
        <v>1</v>
      </c>
      <c r="K11">
        <v>10449</v>
      </c>
      <c r="L11">
        <v>517</v>
      </c>
      <c r="M11">
        <v>4</v>
      </c>
      <c r="N11">
        <v>4</v>
      </c>
    </row>
    <row r="12" spans="1:14" x14ac:dyDescent="0.35">
      <c r="A12" t="s">
        <v>50</v>
      </c>
      <c r="B12">
        <v>20260603</v>
      </c>
      <c r="C12">
        <v>1109</v>
      </c>
      <c r="D12" t="s">
        <v>29</v>
      </c>
      <c r="E12" t="s">
        <v>51</v>
      </c>
      <c r="F12" t="s">
        <v>34</v>
      </c>
      <c r="G12" t="s">
        <v>10</v>
      </c>
      <c r="H12" t="s">
        <v>11</v>
      </c>
      <c r="I12">
        <v>9.07</v>
      </c>
      <c r="J12">
        <v>2</v>
      </c>
      <c r="K12">
        <v>8533</v>
      </c>
      <c r="L12">
        <v>134</v>
      </c>
      <c r="M12">
        <v>5</v>
      </c>
      <c r="N12">
        <v>5</v>
      </c>
    </row>
    <row r="13" spans="1:14" x14ac:dyDescent="0.35">
      <c r="A13" t="s">
        <v>50</v>
      </c>
      <c r="B13">
        <v>20260603</v>
      </c>
      <c r="C13">
        <v>1109</v>
      </c>
      <c r="D13" t="s">
        <v>29</v>
      </c>
      <c r="E13" t="s">
        <v>51</v>
      </c>
      <c r="F13" t="s">
        <v>34</v>
      </c>
      <c r="G13" t="s">
        <v>12</v>
      </c>
      <c r="H13" t="s">
        <v>11</v>
      </c>
      <c r="I13">
        <v>7.8</v>
      </c>
      <c r="J13">
        <v>1</v>
      </c>
      <c r="K13">
        <v>7470</v>
      </c>
      <c r="L13">
        <v>231</v>
      </c>
      <c r="M13">
        <v>5</v>
      </c>
      <c r="N13">
        <v>4</v>
      </c>
    </row>
    <row r="14" spans="1:14" x14ac:dyDescent="0.35">
      <c r="A14" t="s">
        <v>50</v>
      </c>
      <c r="B14">
        <v>20260603</v>
      </c>
      <c r="C14">
        <v>1109</v>
      </c>
      <c r="D14" t="s">
        <v>29</v>
      </c>
      <c r="E14" t="s">
        <v>51</v>
      </c>
      <c r="F14" t="s">
        <v>34</v>
      </c>
      <c r="G14" t="s">
        <v>13</v>
      </c>
      <c r="H14" t="s">
        <v>11</v>
      </c>
      <c r="I14">
        <v>6.48</v>
      </c>
      <c r="J14">
        <v>1</v>
      </c>
      <c r="K14">
        <v>6973</v>
      </c>
      <c r="L14">
        <v>74</v>
      </c>
      <c r="M14">
        <v>5</v>
      </c>
      <c r="N14">
        <v>5</v>
      </c>
    </row>
    <row r="15" spans="1:14" x14ac:dyDescent="0.35">
      <c r="A15" t="s">
        <v>50</v>
      </c>
      <c r="B15">
        <v>20260603</v>
      </c>
      <c r="C15">
        <v>1109</v>
      </c>
      <c r="D15" t="s">
        <v>29</v>
      </c>
      <c r="E15" t="s">
        <v>51</v>
      </c>
      <c r="F15" t="s">
        <v>34</v>
      </c>
      <c r="G15" t="s">
        <v>14</v>
      </c>
      <c r="H15" t="s">
        <v>15</v>
      </c>
      <c r="I15">
        <v>10.199999999999999</v>
      </c>
      <c r="J15">
        <v>2</v>
      </c>
      <c r="K15">
        <v>6707</v>
      </c>
      <c r="L15">
        <v>247</v>
      </c>
      <c r="M15">
        <v>5</v>
      </c>
      <c r="N15">
        <v>2</v>
      </c>
    </row>
    <row r="16" spans="1:14" x14ac:dyDescent="0.35">
      <c r="A16" t="s">
        <v>50</v>
      </c>
      <c r="B16">
        <v>20260603</v>
      </c>
      <c r="C16">
        <v>1109</v>
      </c>
      <c r="D16" t="s">
        <v>29</v>
      </c>
      <c r="E16" t="s">
        <v>51</v>
      </c>
      <c r="F16" t="s">
        <v>34</v>
      </c>
      <c r="G16" t="s">
        <v>16</v>
      </c>
      <c r="H16" t="s">
        <v>15</v>
      </c>
      <c r="I16">
        <v>6.42</v>
      </c>
      <c r="J16">
        <v>1</v>
      </c>
      <c r="K16">
        <v>7557</v>
      </c>
      <c r="L16">
        <v>92</v>
      </c>
      <c r="M16">
        <v>4</v>
      </c>
      <c r="N16">
        <v>2</v>
      </c>
    </row>
    <row r="17" spans="1:14" x14ac:dyDescent="0.35">
      <c r="A17" t="s">
        <v>50</v>
      </c>
      <c r="B17">
        <v>20260603</v>
      </c>
      <c r="C17">
        <v>1109</v>
      </c>
      <c r="D17" t="s">
        <v>29</v>
      </c>
      <c r="E17" t="s">
        <v>51</v>
      </c>
      <c r="F17" t="s">
        <v>34</v>
      </c>
      <c r="G17" t="s">
        <v>17</v>
      </c>
      <c r="H17" t="s">
        <v>15</v>
      </c>
      <c r="I17">
        <v>6.97</v>
      </c>
      <c r="J17">
        <v>1</v>
      </c>
      <c r="K17">
        <v>7530</v>
      </c>
      <c r="L17">
        <v>128</v>
      </c>
      <c r="M17">
        <v>5</v>
      </c>
      <c r="N17">
        <v>5</v>
      </c>
    </row>
    <row r="18" spans="1:14" x14ac:dyDescent="0.35">
      <c r="A18" t="s">
        <v>50</v>
      </c>
      <c r="B18">
        <v>20260603</v>
      </c>
      <c r="C18">
        <v>1109</v>
      </c>
      <c r="D18" t="s">
        <v>29</v>
      </c>
      <c r="E18" t="s">
        <v>51</v>
      </c>
      <c r="F18" t="s">
        <v>34</v>
      </c>
      <c r="G18" t="s">
        <v>18</v>
      </c>
      <c r="H18" t="s">
        <v>19</v>
      </c>
      <c r="I18">
        <v>7.56</v>
      </c>
      <c r="J18">
        <v>1</v>
      </c>
      <c r="K18">
        <v>6934</v>
      </c>
      <c r="L18">
        <v>186</v>
      </c>
      <c r="M18">
        <v>4</v>
      </c>
      <c r="N18">
        <v>2</v>
      </c>
    </row>
    <row r="19" spans="1:14" x14ac:dyDescent="0.35">
      <c r="A19" t="s">
        <v>50</v>
      </c>
      <c r="B19">
        <v>20260603</v>
      </c>
      <c r="C19">
        <v>1109</v>
      </c>
      <c r="D19" t="s">
        <v>29</v>
      </c>
      <c r="E19" t="s">
        <v>51</v>
      </c>
      <c r="F19" t="s">
        <v>34</v>
      </c>
      <c r="G19" t="s">
        <v>20</v>
      </c>
      <c r="H19" t="s">
        <v>15</v>
      </c>
      <c r="I19">
        <v>6.83</v>
      </c>
      <c r="J19">
        <v>1</v>
      </c>
      <c r="K19">
        <v>6983</v>
      </c>
      <c r="L19">
        <v>109</v>
      </c>
      <c r="M19">
        <v>5</v>
      </c>
      <c r="N19">
        <v>4</v>
      </c>
    </row>
    <row r="20" spans="1:14" x14ac:dyDescent="0.35">
      <c r="A20" t="s">
        <v>50</v>
      </c>
      <c r="B20">
        <v>20260603</v>
      </c>
      <c r="C20">
        <v>1109</v>
      </c>
      <c r="D20" t="s">
        <v>29</v>
      </c>
      <c r="E20" t="s">
        <v>51</v>
      </c>
      <c r="F20" t="s">
        <v>34</v>
      </c>
      <c r="G20" t="s">
        <v>21</v>
      </c>
      <c r="H20" t="s">
        <v>19</v>
      </c>
      <c r="I20">
        <v>10.27</v>
      </c>
      <c r="J20">
        <v>2</v>
      </c>
      <c r="K20">
        <v>7348</v>
      </c>
      <c r="L20">
        <v>282</v>
      </c>
      <c r="M20">
        <v>4</v>
      </c>
      <c r="N20">
        <v>2</v>
      </c>
    </row>
    <row r="21" spans="1:14" x14ac:dyDescent="0.35">
      <c r="A21" t="s">
        <v>50</v>
      </c>
      <c r="B21">
        <v>20260603</v>
      </c>
      <c r="C21">
        <v>1109</v>
      </c>
      <c r="D21" t="s">
        <v>29</v>
      </c>
      <c r="E21" t="s">
        <v>51</v>
      </c>
      <c r="F21" t="s">
        <v>34</v>
      </c>
      <c r="G21" t="s">
        <v>22</v>
      </c>
      <c r="H21" t="s">
        <v>19</v>
      </c>
      <c r="I21">
        <v>11.18</v>
      </c>
      <c r="J21">
        <v>1</v>
      </c>
      <c r="K21">
        <v>10449</v>
      </c>
      <c r="L21">
        <v>421</v>
      </c>
      <c r="M21">
        <v>5</v>
      </c>
      <c r="N21">
        <v>5</v>
      </c>
    </row>
    <row r="22" spans="1:14" x14ac:dyDescent="0.35">
      <c r="A22" t="s">
        <v>9</v>
      </c>
      <c r="B22">
        <v>20260604</v>
      </c>
      <c r="C22">
        <v>1410</v>
      </c>
      <c r="D22" t="s">
        <v>29</v>
      </c>
      <c r="E22" t="s">
        <v>30</v>
      </c>
      <c r="F22" t="s">
        <v>34</v>
      </c>
      <c r="G22" t="s">
        <v>10</v>
      </c>
      <c r="H22" t="s">
        <v>11</v>
      </c>
      <c r="I22">
        <v>11.1</v>
      </c>
      <c r="J22">
        <v>2</v>
      </c>
      <c r="K22">
        <v>8533</v>
      </c>
      <c r="L22">
        <v>137</v>
      </c>
      <c r="M22">
        <v>5</v>
      </c>
      <c r="N22">
        <v>4</v>
      </c>
    </row>
    <row r="23" spans="1:14" x14ac:dyDescent="0.35">
      <c r="A23" t="s">
        <v>9</v>
      </c>
      <c r="B23">
        <v>20260604</v>
      </c>
      <c r="C23">
        <v>1410</v>
      </c>
      <c r="D23" t="s">
        <v>29</v>
      </c>
      <c r="E23" t="s">
        <v>30</v>
      </c>
      <c r="F23" t="s">
        <v>34</v>
      </c>
      <c r="G23" t="s">
        <v>12</v>
      </c>
      <c r="H23" t="s">
        <v>11</v>
      </c>
      <c r="I23">
        <v>8.43</v>
      </c>
      <c r="J23">
        <v>1</v>
      </c>
      <c r="K23">
        <v>7070</v>
      </c>
      <c r="L23">
        <v>263</v>
      </c>
      <c r="M23">
        <v>5</v>
      </c>
      <c r="N23">
        <v>4</v>
      </c>
    </row>
    <row r="24" spans="1:14" x14ac:dyDescent="0.35">
      <c r="A24" t="s">
        <v>9</v>
      </c>
      <c r="B24">
        <v>20260604</v>
      </c>
      <c r="C24">
        <v>1410</v>
      </c>
      <c r="D24" t="s">
        <v>29</v>
      </c>
      <c r="E24" t="s">
        <v>30</v>
      </c>
      <c r="F24" t="s">
        <v>34</v>
      </c>
      <c r="G24" t="s">
        <v>13</v>
      </c>
      <c r="H24" t="s">
        <v>11</v>
      </c>
      <c r="I24">
        <v>6.73</v>
      </c>
      <c r="J24">
        <v>1</v>
      </c>
      <c r="K24">
        <v>6973</v>
      </c>
      <c r="L24">
        <v>73</v>
      </c>
      <c r="M24">
        <v>5</v>
      </c>
      <c r="N24">
        <v>5</v>
      </c>
    </row>
    <row r="25" spans="1:14" x14ac:dyDescent="0.35">
      <c r="A25" t="s">
        <v>9</v>
      </c>
      <c r="B25">
        <v>20260604</v>
      </c>
      <c r="C25">
        <v>1410</v>
      </c>
      <c r="D25" t="s">
        <v>29</v>
      </c>
      <c r="E25" t="s">
        <v>30</v>
      </c>
      <c r="F25" t="s">
        <v>34</v>
      </c>
      <c r="G25" t="s">
        <v>14</v>
      </c>
      <c r="H25" t="s">
        <v>15</v>
      </c>
      <c r="I25">
        <v>11.39</v>
      </c>
      <c r="J25">
        <v>2</v>
      </c>
      <c r="K25">
        <v>6704</v>
      </c>
      <c r="L25">
        <v>275</v>
      </c>
      <c r="M25">
        <v>4</v>
      </c>
      <c r="N25">
        <v>2</v>
      </c>
    </row>
    <row r="26" spans="1:14" x14ac:dyDescent="0.35">
      <c r="A26" t="s">
        <v>9</v>
      </c>
      <c r="B26">
        <v>20260604</v>
      </c>
      <c r="C26">
        <v>1410</v>
      </c>
      <c r="D26" t="s">
        <v>29</v>
      </c>
      <c r="E26" t="s">
        <v>30</v>
      </c>
      <c r="F26" t="s">
        <v>34</v>
      </c>
      <c r="G26" t="s">
        <v>16</v>
      </c>
      <c r="H26" t="s">
        <v>15</v>
      </c>
      <c r="I26">
        <v>10.55</v>
      </c>
      <c r="J26">
        <v>1</v>
      </c>
      <c r="K26">
        <v>7557</v>
      </c>
      <c r="L26">
        <v>72</v>
      </c>
      <c r="M26">
        <v>5</v>
      </c>
      <c r="N26">
        <v>4</v>
      </c>
    </row>
    <row r="27" spans="1:14" x14ac:dyDescent="0.35">
      <c r="A27" t="s">
        <v>9</v>
      </c>
      <c r="B27">
        <v>20260604</v>
      </c>
      <c r="C27">
        <v>1410</v>
      </c>
      <c r="D27" t="s">
        <v>29</v>
      </c>
      <c r="E27" t="s">
        <v>30</v>
      </c>
      <c r="F27" t="s">
        <v>34</v>
      </c>
      <c r="G27" t="s">
        <v>17</v>
      </c>
      <c r="H27" t="s">
        <v>15</v>
      </c>
      <c r="I27">
        <v>7.69</v>
      </c>
      <c r="J27">
        <v>1</v>
      </c>
      <c r="K27">
        <v>7530</v>
      </c>
      <c r="L27">
        <v>128</v>
      </c>
      <c r="M27">
        <v>5</v>
      </c>
      <c r="N27">
        <v>5</v>
      </c>
    </row>
    <row r="28" spans="1:14" x14ac:dyDescent="0.35">
      <c r="A28" t="s">
        <v>9</v>
      </c>
      <c r="B28">
        <v>20260604</v>
      </c>
      <c r="C28">
        <v>1410</v>
      </c>
      <c r="D28" t="s">
        <v>29</v>
      </c>
      <c r="E28" t="s">
        <v>30</v>
      </c>
      <c r="F28" t="s">
        <v>34</v>
      </c>
      <c r="G28" t="s">
        <v>18</v>
      </c>
      <c r="H28" t="s">
        <v>19</v>
      </c>
      <c r="I28">
        <v>7.86</v>
      </c>
      <c r="J28">
        <v>1</v>
      </c>
      <c r="K28">
        <v>6915</v>
      </c>
      <c r="L28">
        <v>208</v>
      </c>
      <c r="M28">
        <v>4</v>
      </c>
      <c r="N28">
        <v>2</v>
      </c>
    </row>
    <row r="29" spans="1:14" x14ac:dyDescent="0.35">
      <c r="A29" t="s">
        <v>9</v>
      </c>
      <c r="B29">
        <v>20260604</v>
      </c>
      <c r="C29">
        <v>1410</v>
      </c>
      <c r="D29" t="s">
        <v>29</v>
      </c>
      <c r="E29" t="s">
        <v>30</v>
      </c>
      <c r="F29" t="s">
        <v>34</v>
      </c>
      <c r="G29" t="s">
        <v>20</v>
      </c>
      <c r="H29" t="s">
        <v>15</v>
      </c>
      <c r="I29">
        <v>7.35</v>
      </c>
      <c r="J29">
        <v>1</v>
      </c>
      <c r="K29">
        <v>6983</v>
      </c>
      <c r="L29">
        <v>108</v>
      </c>
      <c r="M29">
        <v>5</v>
      </c>
      <c r="N29">
        <v>4</v>
      </c>
    </row>
    <row r="30" spans="1:14" x14ac:dyDescent="0.35">
      <c r="A30" t="s">
        <v>9</v>
      </c>
      <c r="B30">
        <v>20260604</v>
      </c>
      <c r="C30">
        <v>1410</v>
      </c>
      <c r="D30" t="s">
        <v>29</v>
      </c>
      <c r="E30" t="s">
        <v>30</v>
      </c>
      <c r="F30" t="s">
        <v>34</v>
      </c>
      <c r="G30" t="s">
        <v>21</v>
      </c>
      <c r="H30" t="s">
        <v>19</v>
      </c>
      <c r="I30">
        <v>13.91</v>
      </c>
      <c r="J30">
        <v>2</v>
      </c>
      <c r="K30">
        <v>7338</v>
      </c>
      <c r="L30">
        <v>350</v>
      </c>
      <c r="M30">
        <v>4</v>
      </c>
      <c r="N30">
        <v>2</v>
      </c>
    </row>
    <row r="31" spans="1:14" x14ac:dyDescent="0.35">
      <c r="A31" t="s">
        <v>9</v>
      </c>
      <c r="B31">
        <v>20260604</v>
      </c>
      <c r="C31">
        <v>1410</v>
      </c>
      <c r="D31" t="s">
        <v>29</v>
      </c>
      <c r="E31" t="s">
        <v>30</v>
      </c>
      <c r="F31" t="s">
        <v>34</v>
      </c>
      <c r="G31" t="s">
        <v>22</v>
      </c>
      <c r="H31" t="s">
        <v>19</v>
      </c>
      <c r="I31">
        <v>14.36</v>
      </c>
      <c r="J31">
        <v>2</v>
      </c>
      <c r="K31">
        <v>10634</v>
      </c>
      <c r="L31">
        <v>587</v>
      </c>
      <c r="M31">
        <v>5</v>
      </c>
      <c r="N31">
        <v>4</v>
      </c>
    </row>
    <row r="32" spans="1:14" x14ac:dyDescent="0.35">
      <c r="A32" t="s">
        <v>52</v>
      </c>
      <c r="B32">
        <v>20260604</v>
      </c>
      <c r="C32">
        <v>1426</v>
      </c>
      <c r="D32" t="s">
        <v>29</v>
      </c>
      <c r="E32" t="s">
        <v>30</v>
      </c>
      <c r="F32" t="s">
        <v>34</v>
      </c>
      <c r="G32" t="s">
        <v>10</v>
      </c>
      <c r="H32" t="s">
        <v>11</v>
      </c>
      <c r="I32">
        <v>8.94</v>
      </c>
      <c r="J32">
        <v>2</v>
      </c>
      <c r="K32">
        <v>8739</v>
      </c>
      <c r="L32">
        <v>137</v>
      </c>
      <c r="M32">
        <v>5</v>
      </c>
      <c r="N32">
        <v>5</v>
      </c>
    </row>
    <row r="33" spans="1:14" x14ac:dyDescent="0.35">
      <c r="A33" t="s">
        <v>52</v>
      </c>
      <c r="B33">
        <v>20260604</v>
      </c>
      <c r="C33">
        <v>1426</v>
      </c>
      <c r="D33" t="s">
        <v>29</v>
      </c>
      <c r="E33" t="s">
        <v>30</v>
      </c>
      <c r="F33" t="s">
        <v>34</v>
      </c>
      <c r="G33" t="s">
        <v>12</v>
      </c>
      <c r="H33" t="s">
        <v>11</v>
      </c>
      <c r="I33">
        <v>7.97</v>
      </c>
      <c r="J33">
        <v>1</v>
      </c>
      <c r="K33">
        <v>7676</v>
      </c>
      <c r="L33">
        <v>228</v>
      </c>
      <c r="M33">
        <v>4</v>
      </c>
      <c r="N33">
        <v>4</v>
      </c>
    </row>
    <row r="34" spans="1:14" x14ac:dyDescent="0.35">
      <c r="A34" t="s">
        <v>52</v>
      </c>
      <c r="B34">
        <v>20260604</v>
      </c>
      <c r="C34">
        <v>1426</v>
      </c>
      <c r="D34" t="s">
        <v>29</v>
      </c>
      <c r="E34" t="s">
        <v>30</v>
      </c>
      <c r="F34" t="s">
        <v>34</v>
      </c>
      <c r="G34" t="s">
        <v>13</v>
      </c>
      <c r="H34" t="s">
        <v>11</v>
      </c>
      <c r="I34">
        <v>5.85</v>
      </c>
      <c r="J34">
        <v>1</v>
      </c>
      <c r="K34">
        <v>7179</v>
      </c>
      <c r="L34">
        <v>73</v>
      </c>
      <c r="M34">
        <v>5</v>
      </c>
      <c r="N34">
        <v>5</v>
      </c>
    </row>
    <row r="35" spans="1:14" x14ac:dyDescent="0.35">
      <c r="A35" t="s">
        <v>52</v>
      </c>
      <c r="B35">
        <v>20260604</v>
      </c>
      <c r="C35">
        <v>1426</v>
      </c>
      <c r="D35" t="s">
        <v>29</v>
      </c>
      <c r="E35" t="s">
        <v>30</v>
      </c>
      <c r="F35" t="s">
        <v>34</v>
      </c>
      <c r="G35" t="s">
        <v>14</v>
      </c>
      <c r="H35" t="s">
        <v>15</v>
      </c>
      <c r="I35">
        <v>11.07</v>
      </c>
      <c r="J35">
        <v>2</v>
      </c>
      <c r="K35">
        <v>6910</v>
      </c>
      <c r="L35">
        <v>247</v>
      </c>
      <c r="M35">
        <v>4</v>
      </c>
      <c r="N35">
        <v>3</v>
      </c>
    </row>
    <row r="36" spans="1:14" x14ac:dyDescent="0.35">
      <c r="A36" t="s">
        <v>52</v>
      </c>
      <c r="B36">
        <v>20260604</v>
      </c>
      <c r="C36">
        <v>1426</v>
      </c>
      <c r="D36" t="s">
        <v>29</v>
      </c>
      <c r="E36" t="s">
        <v>30</v>
      </c>
      <c r="F36" t="s">
        <v>34</v>
      </c>
      <c r="G36" t="s">
        <v>16</v>
      </c>
      <c r="H36" t="s">
        <v>15</v>
      </c>
      <c r="I36">
        <v>6.4</v>
      </c>
      <c r="J36">
        <v>1</v>
      </c>
      <c r="K36">
        <v>7763</v>
      </c>
      <c r="L36">
        <v>82</v>
      </c>
      <c r="M36">
        <v>4</v>
      </c>
      <c r="N36">
        <v>4</v>
      </c>
    </row>
    <row r="37" spans="1:14" x14ac:dyDescent="0.35">
      <c r="A37" t="s">
        <v>52</v>
      </c>
      <c r="B37">
        <v>20260604</v>
      </c>
      <c r="C37">
        <v>1426</v>
      </c>
      <c r="D37" t="s">
        <v>29</v>
      </c>
      <c r="E37" t="s">
        <v>30</v>
      </c>
      <c r="F37" t="s">
        <v>34</v>
      </c>
      <c r="G37" t="s">
        <v>17</v>
      </c>
      <c r="H37" t="s">
        <v>15</v>
      </c>
      <c r="I37">
        <v>8.7200000000000006</v>
      </c>
      <c r="J37">
        <v>1</v>
      </c>
      <c r="K37">
        <v>7736</v>
      </c>
      <c r="L37">
        <v>135</v>
      </c>
      <c r="M37">
        <v>5</v>
      </c>
      <c r="N37">
        <v>5</v>
      </c>
    </row>
    <row r="38" spans="1:14" x14ac:dyDescent="0.35">
      <c r="A38" t="s">
        <v>52</v>
      </c>
      <c r="B38">
        <v>20260604</v>
      </c>
      <c r="C38">
        <v>1426</v>
      </c>
      <c r="D38" t="s">
        <v>29</v>
      </c>
      <c r="E38" t="s">
        <v>30</v>
      </c>
      <c r="F38" t="s">
        <v>34</v>
      </c>
      <c r="G38" t="s">
        <v>18</v>
      </c>
      <c r="H38" t="s">
        <v>19</v>
      </c>
      <c r="I38">
        <v>9.01</v>
      </c>
      <c r="J38">
        <v>1</v>
      </c>
      <c r="K38">
        <v>7095</v>
      </c>
      <c r="L38">
        <v>160</v>
      </c>
      <c r="M38">
        <v>5</v>
      </c>
      <c r="N38">
        <v>5</v>
      </c>
    </row>
    <row r="39" spans="1:14" x14ac:dyDescent="0.35">
      <c r="A39" t="s">
        <v>52</v>
      </c>
      <c r="B39">
        <v>20260604</v>
      </c>
      <c r="C39">
        <v>1426</v>
      </c>
      <c r="D39" t="s">
        <v>29</v>
      </c>
      <c r="E39" t="s">
        <v>30</v>
      </c>
      <c r="F39" t="s">
        <v>34</v>
      </c>
      <c r="G39" t="s">
        <v>20</v>
      </c>
      <c r="H39" t="s">
        <v>15</v>
      </c>
      <c r="I39">
        <v>6.54</v>
      </c>
      <c r="J39">
        <v>1</v>
      </c>
      <c r="K39">
        <v>7189</v>
      </c>
      <c r="L39">
        <v>103</v>
      </c>
      <c r="M39">
        <v>4</v>
      </c>
      <c r="N39">
        <v>2</v>
      </c>
    </row>
    <row r="40" spans="1:14" x14ac:dyDescent="0.35">
      <c r="A40" t="s">
        <v>52</v>
      </c>
      <c r="B40">
        <v>20260604</v>
      </c>
      <c r="C40">
        <v>1426</v>
      </c>
      <c r="D40" t="s">
        <v>29</v>
      </c>
      <c r="E40" t="s">
        <v>30</v>
      </c>
      <c r="F40" t="s">
        <v>34</v>
      </c>
      <c r="G40" t="s">
        <v>21</v>
      </c>
      <c r="H40" t="s">
        <v>19</v>
      </c>
      <c r="I40">
        <v>14.15</v>
      </c>
      <c r="J40">
        <v>2</v>
      </c>
      <c r="K40">
        <v>7600</v>
      </c>
      <c r="L40">
        <v>429</v>
      </c>
      <c r="M40">
        <v>5</v>
      </c>
      <c r="N40">
        <v>5</v>
      </c>
    </row>
    <row r="41" spans="1:14" x14ac:dyDescent="0.35">
      <c r="A41" t="s">
        <v>52</v>
      </c>
      <c r="B41">
        <v>20260604</v>
      </c>
      <c r="C41">
        <v>1426</v>
      </c>
      <c r="D41" t="s">
        <v>29</v>
      </c>
      <c r="E41" t="s">
        <v>30</v>
      </c>
      <c r="F41" t="s">
        <v>34</v>
      </c>
      <c r="G41" t="s">
        <v>22</v>
      </c>
      <c r="H41" t="s">
        <v>19</v>
      </c>
      <c r="I41">
        <v>12.17</v>
      </c>
      <c r="J41">
        <v>1</v>
      </c>
      <c r="K41">
        <v>10655</v>
      </c>
      <c r="L41">
        <v>506</v>
      </c>
      <c r="M41">
        <v>4</v>
      </c>
      <c r="N41">
        <v>2</v>
      </c>
    </row>
    <row r="42" spans="1:14" x14ac:dyDescent="0.35">
      <c r="A42" t="s">
        <v>23</v>
      </c>
      <c r="B42">
        <v>20260604</v>
      </c>
      <c r="C42">
        <v>1522</v>
      </c>
      <c r="D42" t="s">
        <v>29</v>
      </c>
      <c r="E42" t="s">
        <v>32</v>
      </c>
      <c r="F42" t="s">
        <v>34</v>
      </c>
      <c r="G42" t="s">
        <v>10</v>
      </c>
      <c r="H42" t="s">
        <v>11</v>
      </c>
      <c r="I42">
        <v>11.97</v>
      </c>
      <c r="J42">
        <v>2</v>
      </c>
      <c r="K42">
        <v>8739</v>
      </c>
      <c r="L42">
        <v>137</v>
      </c>
      <c r="M42">
        <v>5</v>
      </c>
      <c r="N42">
        <v>5</v>
      </c>
    </row>
    <row r="43" spans="1:14" x14ac:dyDescent="0.35">
      <c r="A43" t="s">
        <v>23</v>
      </c>
      <c r="B43">
        <v>20260604</v>
      </c>
      <c r="C43">
        <v>1522</v>
      </c>
      <c r="D43" t="s">
        <v>29</v>
      </c>
      <c r="E43" t="s">
        <v>32</v>
      </c>
      <c r="F43" t="s">
        <v>34</v>
      </c>
      <c r="G43" t="s">
        <v>12</v>
      </c>
      <c r="H43" t="s">
        <v>11</v>
      </c>
      <c r="I43">
        <v>7.97</v>
      </c>
      <c r="J43">
        <v>1</v>
      </c>
      <c r="K43">
        <v>7676</v>
      </c>
      <c r="L43">
        <v>234</v>
      </c>
      <c r="M43">
        <v>4</v>
      </c>
      <c r="N43">
        <v>4</v>
      </c>
    </row>
    <row r="44" spans="1:14" x14ac:dyDescent="0.35">
      <c r="A44" t="s">
        <v>23</v>
      </c>
      <c r="B44">
        <v>20260604</v>
      </c>
      <c r="C44">
        <v>1522</v>
      </c>
      <c r="D44" t="s">
        <v>29</v>
      </c>
      <c r="E44" t="s">
        <v>32</v>
      </c>
      <c r="F44" t="s">
        <v>34</v>
      </c>
      <c r="G44" t="s">
        <v>13</v>
      </c>
      <c r="H44" t="s">
        <v>11</v>
      </c>
      <c r="I44">
        <v>6.23</v>
      </c>
      <c r="J44">
        <v>1</v>
      </c>
      <c r="K44">
        <v>7179</v>
      </c>
      <c r="L44">
        <v>74</v>
      </c>
      <c r="M44">
        <v>5</v>
      </c>
      <c r="N44">
        <v>5</v>
      </c>
    </row>
    <row r="45" spans="1:14" x14ac:dyDescent="0.35">
      <c r="A45" t="s">
        <v>23</v>
      </c>
      <c r="B45">
        <v>20260604</v>
      </c>
      <c r="C45">
        <v>1522</v>
      </c>
      <c r="D45" t="s">
        <v>29</v>
      </c>
      <c r="E45" t="s">
        <v>32</v>
      </c>
      <c r="F45" t="s">
        <v>34</v>
      </c>
      <c r="G45" t="s">
        <v>14</v>
      </c>
      <c r="H45" t="s">
        <v>15</v>
      </c>
      <c r="I45">
        <v>11.54</v>
      </c>
      <c r="J45">
        <v>2</v>
      </c>
      <c r="K45">
        <v>6924</v>
      </c>
      <c r="L45">
        <v>261</v>
      </c>
      <c r="M45">
        <v>4</v>
      </c>
      <c r="N45">
        <v>3</v>
      </c>
    </row>
    <row r="46" spans="1:14" x14ac:dyDescent="0.35">
      <c r="A46" t="s">
        <v>23</v>
      </c>
      <c r="B46">
        <v>20260604</v>
      </c>
      <c r="C46">
        <v>1522</v>
      </c>
      <c r="D46" t="s">
        <v>29</v>
      </c>
      <c r="E46" t="s">
        <v>32</v>
      </c>
      <c r="F46" t="s">
        <v>34</v>
      </c>
      <c r="G46" t="s">
        <v>16</v>
      </c>
      <c r="H46" t="s">
        <v>15</v>
      </c>
      <c r="I46">
        <v>6.74</v>
      </c>
      <c r="J46">
        <v>1</v>
      </c>
      <c r="K46">
        <v>7763</v>
      </c>
      <c r="L46">
        <v>81</v>
      </c>
      <c r="M46">
        <v>5</v>
      </c>
      <c r="N46">
        <v>5</v>
      </c>
    </row>
    <row r="47" spans="1:14" x14ac:dyDescent="0.35">
      <c r="A47" t="s">
        <v>23</v>
      </c>
      <c r="B47">
        <v>20260604</v>
      </c>
      <c r="C47">
        <v>1522</v>
      </c>
      <c r="D47" t="s">
        <v>29</v>
      </c>
      <c r="E47" t="s">
        <v>32</v>
      </c>
      <c r="F47" t="s">
        <v>34</v>
      </c>
      <c r="G47" t="s">
        <v>17</v>
      </c>
      <c r="H47" t="s">
        <v>15</v>
      </c>
      <c r="I47">
        <v>8.1999999999999993</v>
      </c>
      <c r="J47">
        <v>1</v>
      </c>
      <c r="K47">
        <v>7750</v>
      </c>
      <c r="L47">
        <v>153</v>
      </c>
      <c r="M47">
        <v>5</v>
      </c>
      <c r="N47">
        <v>5</v>
      </c>
    </row>
    <row r="48" spans="1:14" x14ac:dyDescent="0.35">
      <c r="A48" t="s">
        <v>23</v>
      </c>
      <c r="B48">
        <v>20260604</v>
      </c>
      <c r="C48">
        <v>1522</v>
      </c>
      <c r="D48" t="s">
        <v>29</v>
      </c>
      <c r="E48" t="s">
        <v>32</v>
      </c>
      <c r="F48" t="s">
        <v>34</v>
      </c>
      <c r="G48" t="s">
        <v>18</v>
      </c>
      <c r="H48" t="s">
        <v>19</v>
      </c>
      <c r="I48">
        <v>10.48</v>
      </c>
      <c r="J48">
        <v>1</v>
      </c>
      <c r="K48">
        <v>7095</v>
      </c>
      <c r="L48">
        <v>201</v>
      </c>
      <c r="M48">
        <v>4</v>
      </c>
      <c r="N48">
        <v>2</v>
      </c>
    </row>
    <row r="49" spans="1:14" x14ac:dyDescent="0.35">
      <c r="A49" t="s">
        <v>23</v>
      </c>
      <c r="B49">
        <v>20260604</v>
      </c>
      <c r="C49">
        <v>1522</v>
      </c>
      <c r="D49" t="s">
        <v>29</v>
      </c>
      <c r="E49" t="s">
        <v>32</v>
      </c>
      <c r="F49" t="s">
        <v>34</v>
      </c>
      <c r="G49" t="s">
        <v>20</v>
      </c>
      <c r="H49" t="s">
        <v>15</v>
      </c>
      <c r="I49">
        <v>6.3</v>
      </c>
      <c r="J49">
        <v>1</v>
      </c>
      <c r="K49">
        <v>7189</v>
      </c>
      <c r="L49">
        <v>108</v>
      </c>
      <c r="M49">
        <v>4</v>
      </c>
      <c r="N49">
        <v>2</v>
      </c>
    </row>
    <row r="50" spans="1:14" x14ac:dyDescent="0.35">
      <c r="A50" t="s">
        <v>23</v>
      </c>
      <c r="B50">
        <v>20260604</v>
      </c>
      <c r="C50">
        <v>1522</v>
      </c>
      <c r="D50" t="s">
        <v>29</v>
      </c>
      <c r="E50" t="s">
        <v>32</v>
      </c>
      <c r="F50" t="s">
        <v>34</v>
      </c>
      <c r="G50" t="s">
        <v>21</v>
      </c>
      <c r="H50" t="s">
        <v>19</v>
      </c>
      <c r="I50">
        <v>13.81</v>
      </c>
      <c r="J50">
        <v>2</v>
      </c>
      <c r="K50">
        <v>7600</v>
      </c>
      <c r="L50">
        <v>396</v>
      </c>
      <c r="M50">
        <v>5</v>
      </c>
      <c r="N50">
        <v>4</v>
      </c>
    </row>
    <row r="51" spans="1:14" x14ac:dyDescent="0.35">
      <c r="A51" t="s">
        <v>23</v>
      </c>
      <c r="B51">
        <v>20260604</v>
      </c>
      <c r="C51">
        <v>1522</v>
      </c>
      <c r="D51" t="s">
        <v>29</v>
      </c>
      <c r="E51" t="s">
        <v>32</v>
      </c>
      <c r="F51" t="s">
        <v>34</v>
      </c>
      <c r="G51" t="s">
        <v>22</v>
      </c>
      <c r="H51" t="s">
        <v>19</v>
      </c>
      <c r="I51">
        <v>12.07</v>
      </c>
      <c r="J51">
        <v>1</v>
      </c>
      <c r="K51">
        <v>10655</v>
      </c>
      <c r="L51">
        <v>520</v>
      </c>
      <c r="M51">
        <v>4</v>
      </c>
      <c r="N51">
        <v>2</v>
      </c>
    </row>
    <row r="52" spans="1:14" x14ac:dyDescent="0.35">
      <c r="A52" t="s">
        <v>24</v>
      </c>
      <c r="B52">
        <v>20260604</v>
      </c>
      <c r="C52">
        <v>1527</v>
      </c>
      <c r="D52" t="s">
        <v>29</v>
      </c>
      <c r="E52" t="s">
        <v>32</v>
      </c>
      <c r="F52" t="s">
        <v>35</v>
      </c>
      <c r="G52" t="s">
        <v>10</v>
      </c>
      <c r="H52" t="s">
        <v>11</v>
      </c>
      <c r="I52">
        <v>13.28</v>
      </c>
      <c r="J52">
        <v>2</v>
      </c>
      <c r="K52">
        <v>8739</v>
      </c>
      <c r="L52">
        <v>137</v>
      </c>
      <c r="M52">
        <v>5</v>
      </c>
      <c r="N52">
        <v>5</v>
      </c>
    </row>
    <row r="53" spans="1:14" x14ac:dyDescent="0.35">
      <c r="A53" t="s">
        <v>24</v>
      </c>
      <c r="B53">
        <v>20260604</v>
      </c>
      <c r="C53">
        <v>1527</v>
      </c>
      <c r="D53" t="s">
        <v>29</v>
      </c>
      <c r="E53" t="s">
        <v>32</v>
      </c>
      <c r="F53" t="s">
        <v>35</v>
      </c>
      <c r="G53" t="s">
        <v>12</v>
      </c>
      <c r="H53" t="s">
        <v>11</v>
      </c>
      <c r="I53">
        <v>7.93</v>
      </c>
      <c r="J53">
        <v>1</v>
      </c>
      <c r="K53">
        <v>7676</v>
      </c>
      <c r="L53">
        <v>236</v>
      </c>
      <c r="M53">
        <v>4</v>
      </c>
      <c r="N53">
        <v>4</v>
      </c>
    </row>
    <row r="54" spans="1:14" x14ac:dyDescent="0.35">
      <c r="A54" t="s">
        <v>24</v>
      </c>
      <c r="B54">
        <v>20260604</v>
      </c>
      <c r="C54">
        <v>1527</v>
      </c>
      <c r="D54" t="s">
        <v>29</v>
      </c>
      <c r="E54" t="s">
        <v>32</v>
      </c>
      <c r="F54" t="s">
        <v>35</v>
      </c>
      <c r="G54" t="s">
        <v>13</v>
      </c>
      <c r="H54" t="s">
        <v>11</v>
      </c>
      <c r="I54">
        <v>9.26</v>
      </c>
      <c r="J54">
        <v>1</v>
      </c>
      <c r="K54">
        <v>7179</v>
      </c>
      <c r="L54">
        <v>73</v>
      </c>
      <c r="M54">
        <v>4</v>
      </c>
      <c r="N54">
        <v>5</v>
      </c>
    </row>
    <row r="55" spans="1:14" x14ac:dyDescent="0.35">
      <c r="A55" t="s">
        <v>24</v>
      </c>
      <c r="B55">
        <v>20260604</v>
      </c>
      <c r="C55">
        <v>1527</v>
      </c>
      <c r="D55" t="s">
        <v>29</v>
      </c>
      <c r="E55" t="s">
        <v>32</v>
      </c>
      <c r="F55" t="s">
        <v>35</v>
      </c>
      <c r="G55" t="s">
        <v>14</v>
      </c>
      <c r="H55" t="s">
        <v>15</v>
      </c>
      <c r="I55">
        <v>10.42</v>
      </c>
      <c r="J55">
        <v>2</v>
      </c>
      <c r="K55">
        <v>6910</v>
      </c>
      <c r="L55">
        <v>243</v>
      </c>
      <c r="M55">
        <v>4</v>
      </c>
      <c r="N55">
        <v>3</v>
      </c>
    </row>
    <row r="56" spans="1:14" x14ac:dyDescent="0.35">
      <c r="A56" t="s">
        <v>24</v>
      </c>
      <c r="B56">
        <v>20260604</v>
      </c>
      <c r="C56">
        <v>1527</v>
      </c>
      <c r="D56" t="s">
        <v>29</v>
      </c>
      <c r="E56" t="s">
        <v>32</v>
      </c>
      <c r="F56" t="s">
        <v>35</v>
      </c>
      <c r="G56" t="s">
        <v>16</v>
      </c>
      <c r="H56" t="s">
        <v>15</v>
      </c>
      <c r="I56">
        <v>6.07</v>
      </c>
      <c r="J56">
        <v>1</v>
      </c>
      <c r="K56">
        <v>7763</v>
      </c>
      <c r="L56">
        <v>79</v>
      </c>
      <c r="M56">
        <v>4</v>
      </c>
      <c r="N56">
        <v>5</v>
      </c>
    </row>
    <row r="57" spans="1:14" x14ac:dyDescent="0.35">
      <c r="A57" t="s">
        <v>24</v>
      </c>
      <c r="B57">
        <v>20260604</v>
      </c>
      <c r="C57">
        <v>1527</v>
      </c>
      <c r="D57" t="s">
        <v>29</v>
      </c>
      <c r="E57" t="s">
        <v>32</v>
      </c>
      <c r="F57" t="s">
        <v>35</v>
      </c>
      <c r="G57" t="s">
        <v>17</v>
      </c>
      <c r="H57" t="s">
        <v>15</v>
      </c>
      <c r="I57">
        <v>7.35</v>
      </c>
      <c r="J57">
        <v>1</v>
      </c>
      <c r="K57">
        <v>7736</v>
      </c>
      <c r="L57">
        <v>129</v>
      </c>
      <c r="M57">
        <v>5</v>
      </c>
      <c r="N57">
        <v>5</v>
      </c>
    </row>
    <row r="58" spans="1:14" x14ac:dyDescent="0.35">
      <c r="A58" t="s">
        <v>24</v>
      </c>
      <c r="B58">
        <v>20260604</v>
      </c>
      <c r="C58">
        <v>1527</v>
      </c>
      <c r="D58" t="s">
        <v>29</v>
      </c>
      <c r="E58" t="s">
        <v>32</v>
      </c>
      <c r="F58" t="s">
        <v>35</v>
      </c>
      <c r="G58" t="s">
        <v>18</v>
      </c>
      <c r="H58" t="s">
        <v>19</v>
      </c>
      <c r="I58">
        <v>7.61</v>
      </c>
      <c r="J58">
        <v>1</v>
      </c>
      <c r="K58">
        <v>7114</v>
      </c>
      <c r="L58">
        <v>183</v>
      </c>
      <c r="M58">
        <v>4</v>
      </c>
      <c r="N58">
        <v>5</v>
      </c>
    </row>
    <row r="59" spans="1:14" x14ac:dyDescent="0.35">
      <c r="A59" t="s">
        <v>24</v>
      </c>
      <c r="B59">
        <v>20260604</v>
      </c>
      <c r="C59">
        <v>1527</v>
      </c>
      <c r="D59" t="s">
        <v>29</v>
      </c>
      <c r="E59" t="s">
        <v>32</v>
      </c>
      <c r="F59" t="s">
        <v>35</v>
      </c>
      <c r="G59" t="s">
        <v>20</v>
      </c>
      <c r="H59" t="s">
        <v>15</v>
      </c>
      <c r="I59">
        <v>6.6</v>
      </c>
      <c r="J59">
        <v>1</v>
      </c>
      <c r="K59">
        <v>7189</v>
      </c>
      <c r="L59">
        <v>101</v>
      </c>
      <c r="M59">
        <v>5</v>
      </c>
      <c r="N59">
        <v>5</v>
      </c>
    </row>
    <row r="60" spans="1:14" x14ac:dyDescent="0.35">
      <c r="A60" t="s">
        <v>24</v>
      </c>
      <c r="B60">
        <v>20260604</v>
      </c>
      <c r="C60">
        <v>1527</v>
      </c>
      <c r="D60" t="s">
        <v>29</v>
      </c>
      <c r="E60" t="s">
        <v>32</v>
      </c>
      <c r="F60" t="s">
        <v>35</v>
      </c>
      <c r="G60" t="s">
        <v>21</v>
      </c>
      <c r="H60" t="s">
        <v>19</v>
      </c>
      <c r="I60">
        <v>14.1</v>
      </c>
      <c r="J60">
        <v>2</v>
      </c>
      <c r="K60">
        <v>7600</v>
      </c>
      <c r="L60">
        <v>448</v>
      </c>
      <c r="M60">
        <v>4</v>
      </c>
      <c r="N60">
        <v>5</v>
      </c>
    </row>
    <row r="61" spans="1:14" x14ac:dyDescent="0.35">
      <c r="A61" t="s">
        <v>24</v>
      </c>
      <c r="B61">
        <v>20260604</v>
      </c>
      <c r="C61">
        <v>1527</v>
      </c>
      <c r="D61" t="s">
        <v>29</v>
      </c>
      <c r="E61" t="s">
        <v>32</v>
      </c>
      <c r="F61" t="s">
        <v>35</v>
      </c>
      <c r="G61" t="s">
        <v>22</v>
      </c>
      <c r="H61" t="s">
        <v>19</v>
      </c>
      <c r="I61">
        <v>11.99</v>
      </c>
      <c r="J61">
        <v>1</v>
      </c>
      <c r="K61">
        <v>10655</v>
      </c>
      <c r="L61">
        <v>456</v>
      </c>
      <c r="M61">
        <v>4</v>
      </c>
      <c r="N61">
        <v>3</v>
      </c>
    </row>
    <row r="62" spans="1:14" x14ac:dyDescent="0.35">
      <c r="A62" t="s">
        <v>25</v>
      </c>
      <c r="B62">
        <v>20260604</v>
      </c>
      <c r="C62">
        <v>1538</v>
      </c>
      <c r="D62" t="s">
        <v>31</v>
      </c>
      <c r="E62" s="1" t="s">
        <v>33</v>
      </c>
      <c r="F62" t="s">
        <v>35</v>
      </c>
      <c r="G62" t="s">
        <v>10</v>
      </c>
      <c r="H62" t="s">
        <v>11</v>
      </c>
      <c r="I62">
        <v>6.81</v>
      </c>
      <c r="J62">
        <v>2</v>
      </c>
      <c r="K62">
        <v>8251</v>
      </c>
      <c r="L62">
        <v>197</v>
      </c>
      <c r="M62">
        <v>4</v>
      </c>
      <c r="N62">
        <v>5</v>
      </c>
    </row>
    <row r="63" spans="1:14" x14ac:dyDescent="0.35">
      <c r="A63" t="s">
        <v>25</v>
      </c>
      <c r="B63">
        <v>20260604</v>
      </c>
      <c r="C63">
        <v>1538</v>
      </c>
      <c r="D63" t="s">
        <v>31</v>
      </c>
      <c r="E63" s="1" t="s">
        <v>33</v>
      </c>
      <c r="F63" t="s">
        <v>35</v>
      </c>
      <c r="G63" t="s">
        <v>12</v>
      </c>
      <c r="H63" t="s">
        <v>11</v>
      </c>
      <c r="I63">
        <v>8.82</v>
      </c>
      <c r="J63">
        <v>2</v>
      </c>
      <c r="K63">
        <v>8523</v>
      </c>
      <c r="L63">
        <v>401</v>
      </c>
      <c r="M63">
        <v>4</v>
      </c>
      <c r="N63">
        <v>5</v>
      </c>
    </row>
    <row r="64" spans="1:14" x14ac:dyDescent="0.35">
      <c r="A64" t="s">
        <v>25</v>
      </c>
      <c r="B64">
        <v>20260604</v>
      </c>
      <c r="C64">
        <v>1538</v>
      </c>
      <c r="D64" t="s">
        <v>31</v>
      </c>
      <c r="E64" s="1" t="s">
        <v>33</v>
      </c>
      <c r="F64" t="s">
        <v>35</v>
      </c>
      <c r="G64" t="s">
        <v>13</v>
      </c>
      <c r="H64" t="s">
        <v>11</v>
      </c>
      <c r="I64">
        <v>9.92</v>
      </c>
      <c r="J64">
        <v>3</v>
      </c>
      <c r="K64">
        <v>10864</v>
      </c>
      <c r="L64">
        <v>263</v>
      </c>
      <c r="M64">
        <v>3</v>
      </c>
      <c r="N64">
        <v>5</v>
      </c>
    </row>
    <row r="65" spans="1:14" x14ac:dyDescent="0.35">
      <c r="A65" t="s">
        <v>25</v>
      </c>
      <c r="B65">
        <v>20260604</v>
      </c>
      <c r="C65">
        <v>1538</v>
      </c>
      <c r="D65" t="s">
        <v>31</v>
      </c>
      <c r="E65" s="1" t="s">
        <v>33</v>
      </c>
      <c r="F65" t="s">
        <v>35</v>
      </c>
      <c r="G65" t="s">
        <v>14</v>
      </c>
      <c r="H65" t="s">
        <v>15</v>
      </c>
      <c r="I65">
        <v>9.42</v>
      </c>
      <c r="J65">
        <v>2</v>
      </c>
      <c r="K65">
        <v>7958</v>
      </c>
      <c r="L65">
        <v>324</v>
      </c>
      <c r="M65">
        <v>4</v>
      </c>
      <c r="N65">
        <v>2</v>
      </c>
    </row>
    <row r="66" spans="1:14" x14ac:dyDescent="0.35">
      <c r="A66" t="s">
        <v>25</v>
      </c>
      <c r="B66">
        <v>20260604</v>
      </c>
      <c r="C66">
        <v>1538</v>
      </c>
      <c r="D66" t="s">
        <v>31</v>
      </c>
      <c r="E66" s="1" t="s">
        <v>33</v>
      </c>
      <c r="F66" t="s">
        <v>35</v>
      </c>
      <c r="G66" t="s">
        <v>16</v>
      </c>
      <c r="H66" t="s">
        <v>15</v>
      </c>
      <c r="I66">
        <v>7.18</v>
      </c>
      <c r="J66">
        <v>2</v>
      </c>
      <c r="K66">
        <v>8347</v>
      </c>
      <c r="L66">
        <v>226</v>
      </c>
      <c r="M66">
        <v>3</v>
      </c>
      <c r="N66">
        <v>2</v>
      </c>
    </row>
    <row r="67" spans="1:14" x14ac:dyDescent="0.35">
      <c r="A67" t="s">
        <v>25</v>
      </c>
      <c r="B67">
        <v>20260604</v>
      </c>
      <c r="C67">
        <v>1538</v>
      </c>
      <c r="D67" t="s">
        <v>31</v>
      </c>
      <c r="E67" s="1" t="s">
        <v>33</v>
      </c>
      <c r="F67" t="s">
        <v>35</v>
      </c>
      <c r="G67" t="s">
        <v>17</v>
      </c>
      <c r="H67" t="s">
        <v>15</v>
      </c>
      <c r="I67">
        <v>12.69</v>
      </c>
      <c r="J67">
        <v>4</v>
      </c>
      <c r="K67">
        <v>13755</v>
      </c>
      <c r="L67">
        <v>485</v>
      </c>
      <c r="M67">
        <v>5</v>
      </c>
      <c r="N67">
        <v>5</v>
      </c>
    </row>
    <row r="68" spans="1:14" x14ac:dyDescent="0.35">
      <c r="A68" t="s">
        <v>25</v>
      </c>
      <c r="B68">
        <v>20260604</v>
      </c>
      <c r="C68">
        <v>1538</v>
      </c>
      <c r="D68" t="s">
        <v>31</v>
      </c>
      <c r="E68" s="1" t="s">
        <v>33</v>
      </c>
      <c r="F68" t="s">
        <v>35</v>
      </c>
      <c r="G68" t="s">
        <v>18</v>
      </c>
      <c r="H68" t="s">
        <v>19</v>
      </c>
      <c r="I68">
        <v>31.77</v>
      </c>
      <c r="J68">
        <v>6</v>
      </c>
      <c r="K68">
        <v>26201</v>
      </c>
      <c r="L68">
        <v>1404</v>
      </c>
      <c r="M68">
        <v>3</v>
      </c>
      <c r="N68">
        <v>4</v>
      </c>
    </row>
    <row r="69" spans="1:14" x14ac:dyDescent="0.35">
      <c r="A69" t="s">
        <v>25</v>
      </c>
      <c r="B69">
        <v>20260604</v>
      </c>
      <c r="C69">
        <v>1538</v>
      </c>
      <c r="D69" t="s">
        <v>31</v>
      </c>
      <c r="E69" s="1" t="s">
        <v>33</v>
      </c>
      <c r="F69" t="s">
        <v>35</v>
      </c>
      <c r="G69" t="s">
        <v>20</v>
      </c>
      <c r="H69" t="s">
        <v>15</v>
      </c>
      <c r="I69">
        <v>11.7</v>
      </c>
      <c r="J69">
        <v>2</v>
      </c>
      <c r="K69">
        <v>7913</v>
      </c>
      <c r="L69">
        <v>213</v>
      </c>
      <c r="M69">
        <v>4</v>
      </c>
      <c r="N69">
        <v>5</v>
      </c>
    </row>
    <row r="70" spans="1:14" x14ac:dyDescent="0.35">
      <c r="A70" t="s">
        <v>25</v>
      </c>
      <c r="B70">
        <v>20260604</v>
      </c>
      <c r="C70">
        <v>1538</v>
      </c>
      <c r="D70" t="s">
        <v>31</v>
      </c>
      <c r="E70" s="1" t="s">
        <v>33</v>
      </c>
      <c r="F70" t="s">
        <v>35</v>
      </c>
      <c r="G70" t="s">
        <v>21</v>
      </c>
      <c r="H70" t="s">
        <v>19</v>
      </c>
      <c r="I70">
        <v>20.77</v>
      </c>
      <c r="J70">
        <v>4</v>
      </c>
      <c r="K70">
        <v>11408</v>
      </c>
      <c r="L70">
        <v>612</v>
      </c>
      <c r="M70">
        <v>4</v>
      </c>
      <c r="N70">
        <v>5</v>
      </c>
    </row>
    <row r="71" spans="1:14" x14ac:dyDescent="0.35">
      <c r="A71" t="s">
        <v>25</v>
      </c>
      <c r="B71">
        <v>20260604</v>
      </c>
      <c r="C71">
        <v>1538</v>
      </c>
      <c r="D71" t="s">
        <v>31</v>
      </c>
      <c r="E71" s="1" t="s">
        <v>33</v>
      </c>
      <c r="F71" t="s">
        <v>35</v>
      </c>
      <c r="G71" t="s">
        <v>22</v>
      </c>
      <c r="H71" t="s">
        <v>19</v>
      </c>
      <c r="I71">
        <v>45.91</v>
      </c>
      <c r="J71">
        <v>6</v>
      </c>
      <c r="K71">
        <v>24194</v>
      </c>
      <c r="L71">
        <v>1183</v>
      </c>
      <c r="M71">
        <v>3</v>
      </c>
      <c r="N71">
        <v>3</v>
      </c>
    </row>
    <row r="72" spans="1:14" x14ac:dyDescent="0.35">
      <c r="A72" t="s">
        <v>45</v>
      </c>
      <c r="B72">
        <v>20260612</v>
      </c>
      <c r="C72">
        <v>1049</v>
      </c>
      <c r="D72" t="s">
        <v>53</v>
      </c>
      <c r="E72" t="s">
        <v>54</v>
      </c>
      <c r="F72" t="s">
        <v>35</v>
      </c>
      <c r="G72" t="s">
        <v>10</v>
      </c>
      <c r="H72" t="s">
        <v>11</v>
      </c>
      <c r="I72">
        <v>6.15</v>
      </c>
      <c r="J72">
        <v>1</v>
      </c>
      <c r="K72">
        <v>11306</v>
      </c>
      <c r="L72">
        <v>145</v>
      </c>
      <c r="M72">
        <v>4</v>
      </c>
      <c r="N72">
        <v>5</v>
      </c>
    </row>
    <row r="73" spans="1:14" x14ac:dyDescent="0.35">
      <c r="A73" t="s">
        <v>45</v>
      </c>
      <c r="B73">
        <v>20260612</v>
      </c>
      <c r="C73">
        <v>1049</v>
      </c>
      <c r="D73" t="s">
        <v>53</v>
      </c>
      <c r="E73" t="s">
        <v>54</v>
      </c>
      <c r="F73" t="s">
        <v>35</v>
      </c>
      <c r="G73" t="s">
        <v>12</v>
      </c>
      <c r="H73" t="s">
        <v>11</v>
      </c>
      <c r="I73">
        <v>7.39</v>
      </c>
      <c r="J73">
        <v>1</v>
      </c>
      <c r="K73">
        <v>11664</v>
      </c>
      <c r="L73">
        <v>419</v>
      </c>
      <c r="M73">
        <v>4</v>
      </c>
      <c r="N73">
        <v>5</v>
      </c>
    </row>
    <row r="74" spans="1:14" x14ac:dyDescent="0.35">
      <c r="A74" t="s">
        <v>45</v>
      </c>
      <c r="B74">
        <v>20260612</v>
      </c>
      <c r="C74">
        <v>1049</v>
      </c>
      <c r="D74" t="s">
        <v>53</v>
      </c>
      <c r="E74" t="s">
        <v>54</v>
      </c>
      <c r="F74" t="s">
        <v>35</v>
      </c>
      <c r="G74" t="s">
        <v>13</v>
      </c>
      <c r="H74" t="s">
        <v>11</v>
      </c>
      <c r="I74">
        <v>6.04</v>
      </c>
      <c r="J74">
        <v>1</v>
      </c>
      <c r="K74">
        <v>11492</v>
      </c>
      <c r="L74">
        <v>174</v>
      </c>
      <c r="M74">
        <v>3</v>
      </c>
      <c r="N74">
        <v>5</v>
      </c>
    </row>
    <row r="75" spans="1:14" x14ac:dyDescent="0.35">
      <c r="A75" t="s">
        <v>45</v>
      </c>
      <c r="B75">
        <v>20260612</v>
      </c>
      <c r="C75">
        <v>1049</v>
      </c>
      <c r="D75" t="s">
        <v>53</v>
      </c>
      <c r="E75" t="s">
        <v>54</v>
      </c>
      <c r="F75" t="s">
        <v>35</v>
      </c>
      <c r="G75" t="s">
        <v>14</v>
      </c>
      <c r="H75" t="s">
        <v>15</v>
      </c>
      <c r="I75">
        <v>6.93</v>
      </c>
      <c r="J75">
        <v>2</v>
      </c>
      <c r="K75">
        <v>11691</v>
      </c>
      <c r="L75">
        <v>268</v>
      </c>
      <c r="M75">
        <v>3</v>
      </c>
      <c r="N75">
        <v>2</v>
      </c>
    </row>
    <row r="76" spans="1:14" x14ac:dyDescent="0.35">
      <c r="A76" t="s">
        <v>45</v>
      </c>
      <c r="B76">
        <v>20260612</v>
      </c>
      <c r="C76">
        <v>1049</v>
      </c>
      <c r="D76" t="s">
        <v>53</v>
      </c>
      <c r="E76" t="s">
        <v>54</v>
      </c>
      <c r="F76" t="s">
        <v>35</v>
      </c>
      <c r="G76" t="s">
        <v>16</v>
      </c>
      <c r="H76" t="s">
        <v>15</v>
      </c>
      <c r="I76">
        <v>6.42</v>
      </c>
      <c r="J76">
        <v>1</v>
      </c>
      <c r="K76">
        <v>11778</v>
      </c>
      <c r="L76">
        <v>255</v>
      </c>
      <c r="M76">
        <v>4</v>
      </c>
      <c r="N76">
        <v>5</v>
      </c>
    </row>
    <row r="77" spans="1:14" x14ac:dyDescent="0.35">
      <c r="A77" t="s">
        <v>45</v>
      </c>
      <c r="B77">
        <v>20260612</v>
      </c>
      <c r="C77">
        <v>1049</v>
      </c>
      <c r="D77" t="s">
        <v>53</v>
      </c>
      <c r="E77" t="s">
        <v>54</v>
      </c>
      <c r="F77" t="s">
        <v>35</v>
      </c>
      <c r="G77" t="s">
        <v>17</v>
      </c>
      <c r="H77" t="s">
        <v>15</v>
      </c>
      <c r="I77">
        <v>5.22</v>
      </c>
      <c r="J77">
        <v>1</v>
      </c>
      <c r="K77">
        <v>11465</v>
      </c>
      <c r="L77">
        <v>168</v>
      </c>
      <c r="M77">
        <v>5</v>
      </c>
      <c r="N77">
        <v>5</v>
      </c>
    </row>
    <row r="78" spans="1:14" x14ac:dyDescent="0.35">
      <c r="A78" t="s">
        <v>45</v>
      </c>
      <c r="B78">
        <v>20260612</v>
      </c>
      <c r="C78">
        <v>1049</v>
      </c>
      <c r="D78" t="s">
        <v>53</v>
      </c>
      <c r="E78" t="s">
        <v>54</v>
      </c>
      <c r="F78" t="s">
        <v>35</v>
      </c>
      <c r="G78" t="s">
        <v>18</v>
      </c>
      <c r="H78" t="s">
        <v>19</v>
      </c>
      <c r="I78">
        <v>6.81</v>
      </c>
      <c r="J78">
        <v>2</v>
      </c>
      <c r="K78">
        <v>11743</v>
      </c>
      <c r="L78">
        <v>292</v>
      </c>
      <c r="M78">
        <v>4</v>
      </c>
      <c r="N78">
        <v>5</v>
      </c>
    </row>
    <row r="79" spans="1:14" x14ac:dyDescent="0.35">
      <c r="A79" t="s">
        <v>45</v>
      </c>
      <c r="B79">
        <v>20260612</v>
      </c>
      <c r="C79">
        <v>1049</v>
      </c>
      <c r="D79" t="s">
        <v>53</v>
      </c>
      <c r="E79" t="s">
        <v>54</v>
      </c>
      <c r="F79" t="s">
        <v>35</v>
      </c>
      <c r="G79" t="s">
        <v>20</v>
      </c>
      <c r="H79" t="s">
        <v>15</v>
      </c>
      <c r="I79">
        <v>5.61</v>
      </c>
      <c r="J79">
        <v>1</v>
      </c>
      <c r="K79">
        <v>11647</v>
      </c>
      <c r="L79">
        <v>181</v>
      </c>
      <c r="M79">
        <v>2</v>
      </c>
      <c r="N79">
        <v>1</v>
      </c>
    </row>
    <row r="80" spans="1:14" x14ac:dyDescent="0.35">
      <c r="A80" t="s">
        <v>45</v>
      </c>
      <c r="B80">
        <v>20260612</v>
      </c>
      <c r="C80">
        <v>1049</v>
      </c>
      <c r="D80" t="s">
        <v>53</v>
      </c>
      <c r="E80" t="s">
        <v>54</v>
      </c>
      <c r="F80" t="s">
        <v>35</v>
      </c>
      <c r="G80" t="s">
        <v>21</v>
      </c>
      <c r="H80" t="s">
        <v>19</v>
      </c>
      <c r="I80">
        <v>8.33</v>
      </c>
      <c r="J80">
        <v>2</v>
      </c>
      <c r="K80">
        <v>11879</v>
      </c>
      <c r="L80">
        <v>393</v>
      </c>
      <c r="M80">
        <v>5</v>
      </c>
      <c r="N80">
        <v>5</v>
      </c>
    </row>
    <row r="81" spans="1:14" x14ac:dyDescent="0.35">
      <c r="A81" t="s">
        <v>45</v>
      </c>
      <c r="B81">
        <v>20260612</v>
      </c>
      <c r="C81">
        <v>1049</v>
      </c>
      <c r="D81" t="s">
        <v>53</v>
      </c>
      <c r="E81" t="s">
        <v>54</v>
      </c>
      <c r="F81" t="s">
        <v>35</v>
      </c>
      <c r="G81" t="s">
        <v>22</v>
      </c>
      <c r="H81" t="s">
        <v>19</v>
      </c>
      <c r="I81">
        <v>7.46</v>
      </c>
      <c r="J81">
        <v>1</v>
      </c>
      <c r="K81">
        <v>11733</v>
      </c>
      <c r="L81">
        <v>386</v>
      </c>
      <c r="M81">
        <v>4</v>
      </c>
      <c r="N81">
        <v>4</v>
      </c>
    </row>
    <row r="82" spans="1:14" x14ac:dyDescent="0.35">
      <c r="A82" t="s">
        <v>56</v>
      </c>
      <c r="B82">
        <v>20260612</v>
      </c>
      <c r="C82">
        <v>1111</v>
      </c>
      <c r="D82" t="s">
        <v>53</v>
      </c>
      <c r="E82" t="s">
        <v>54</v>
      </c>
      <c r="F82" t="s">
        <v>35</v>
      </c>
      <c r="G82" t="s">
        <v>10</v>
      </c>
      <c r="H82" t="s">
        <v>11</v>
      </c>
      <c r="I82">
        <v>5.84</v>
      </c>
      <c r="J82">
        <v>1</v>
      </c>
      <c r="K82">
        <v>11306</v>
      </c>
      <c r="L82">
        <v>143</v>
      </c>
      <c r="M82">
        <v>5</v>
      </c>
      <c r="N82">
        <v>5</v>
      </c>
    </row>
    <row r="83" spans="1:14" x14ac:dyDescent="0.35">
      <c r="A83" t="s">
        <v>56</v>
      </c>
      <c r="B83">
        <v>20260612</v>
      </c>
      <c r="C83">
        <v>1111</v>
      </c>
      <c r="D83" t="s">
        <v>53</v>
      </c>
      <c r="E83" t="s">
        <v>54</v>
      </c>
      <c r="F83" t="s">
        <v>35</v>
      </c>
      <c r="G83" t="s">
        <v>12</v>
      </c>
      <c r="H83" t="s">
        <v>11</v>
      </c>
      <c r="I83">
        <v>7.94</v>
      </c>
      <c r="J83">
        <v>1</v>
      </c>
      <c r="K83">
        <v>11731</v>
      </c>
      <c r="L83">
        <v>433</v>
      </c>
      <c r="M83">
        <v>4</v>
      </c>
      <c r="N83">
        <v>5</v>
      </c>
    </row>
    <row r="84" spans="1:14" x14ac:dyDescent="0.35">
      <c r="A84" t="s">
        <v>56</v>
      </c>
      <c r="B84">
        <v>20260612</v>
      </c>
      <c r="C84">
        <v>1111</v>
      </c>
      <c r="D84" t="s">
        <v>53</v>
      </c>
      <c r="E84" t="s">
        <v>54</v>
      </c>
      <c r="F84" t="s">
        <v>35</v>
      </c>
      <c r="G84" t="s">
        <v>13</v>
      </c>
      <c r="H84" t="s">
        <v>11</v>
      </c>
      <c r="I84">
        <v>5.38</v>
      </c>
      <c r="J84">
        <v>1</v>
      </c>
      <c r="K84">
        <v>11512</v>
      </c>
      <c r="L84">
        <v>161</v>
      </c>
      <c r="M84">
        <v>5</v>
      </c>
      <c r="N84">
        <v>5</v>
      </c>
    </row>
    <row r="85" spans="1:14" x14ac:dyDescent="0.35">
      <c r="A85" t="s">
        <v>56</v>
      </c>
      <c r="B85">
        <v>20260612</v>
      </c>
      <c r="C85">
        <v>1111</v>
      </c>
      <c r="D85" t="s">
        <v>53</v>
      </c>
      <c r="E85" t="s">
        <v>54</v>
      </c>
      <c r="F85" t="s">
        <v>35</v>
      </c>
      <c r="G85" t="s">
        <v>14</v>
      </c>
      <c r="H85" t="s">
        <v>15</v>
      </c>
      <c r="I85">
        <v>6.72</v>
      </c>
      <c r="J85">
        <v>2</v>
      </c>
      <c r="K85">
        <v>11691</v>
      </c>
      <c r="L85">
        <v>268</v>
      </c>
      <c r="M85">
        <v>4</v>
      </c>
      <c r="N85">
        <v>2</v>
      </c>
    </row>
    <row r="86" spans="1:14" x14ac:dyDescent="0.35">
      <c r="A86" t="s">
        <v>56</v>
      </c>
      <c r="B86">
        <v>20260612</v>
      </c>
      <c r="C86">
        <v>1111</v>
      </c>
      <c r="D86" t="s">
        <v>53</v>
      </c>
      <c r="E86" t="s">
        <v>54</v>
      </c>
      <c r="F86" t="s">
        <v>35</v>
      </c>
      <c r="G86" t="s">
        <v>16</v>
      </c>
      <c r="H86" t="s">
        <v>15</v>
      </c>
      <c r="I86">
        <v>6.17</v>
      </c>
      <c r="J86">
        <v>1</v>
      </c>
      <c r="K86">
        <v>11778</v>
      </c>
      <c r="L86">
        <v>255</v>
      </c>
      <c r="M86">
        <v>5</v>
      </c>
      <c r="N86">
        <v>5</v>
      </c>
    </row>
    <row r="87" spans="1:14" x14ac:dyDescent="0.35">
      <c r="A87" t="s">
        <v>56</v>
      </c>
      <c r="B87">
        <v>20260612</v>
      </c>
      <c r="C87">
        <v>1111</v>
      </c>
      <c r="D87" t="s">
        <v>53</v>
      </c>
      <c r="E87" t="s">
        <v>54</v>
      </c>
      <c r="F87" t="s">
        <v>35</v>
      </c>
      <c r="G87" t="s">
        <v>17</v>
      </c>
      <c r="H87" t="s">
        <v>15</v>
      </c>
      <c r="I87">
        <v>5.6</v>
      </c>
      <c r="J87">
        <v>1</v>
      </c>
      <c r="K87">
        <v>11465</v>
      </c>
      <c r="L87">
        <v>171</v>
      </c>
      <c r="M87">
        <v>5</v>
      </c>
      <c r="N87">
        <v>5</v>
      </c>
    </row>
    <row r="88" spans="1:14" x14ac:dyDescent="0.35">
      <c r="A88" t="s">
        <v>56</v>
      </c>
      <c r="B88">
        <v>20260612</v>
      </c>
      <c r="C88">
        <v>1111</v>
      </c>
      <c r="D88" t="s">
        <v>53</v>
      </c>
      <c r="E88" t="s">
        <v>54</v>
      </c>
      <c r="F88" t="s">
        <v>35</v>
      </c>
      <c r="G88" t="s">
        <v>18</v>
      </c>
      <c r="H88" t="s">
        <v>19</v>
      </c>
      <c r="I88">
        <v>6.26</v>
      </c>
      <c r="J88">
        <v>2</v>
      </c>
      <c r="K88">
        <v>11743</v>
      </c>
      <c r="L88">
        <v>296</v>
      </c>
      <c r="M88">
        <v>5</v>
      </c>
      <c r="N88">
        <v>5</v>
      </c>
    </row>
    <row r="89" spans="1:14" x14ac:dyDescent="0.35">
      <c r="A89" t="s">
        <v>56</v>
      </c>
      <c r="B89">
        <v>20260612</v>
      </c>
      <c r="C89">
        <v>1111</v>
      </c>
      <c r="D89" t="s">
        <v>53</v>
      </c>
      <c r="E89" t="s">
        <v>54</v>
      </c>
      <c r="F89" t="s">
        <v>35</v>
      </c>
      <c r="G89" t="s">
        <v>20</v>
      </c>
      <c r="H89" t="s">
        <v>15</v>
      </c>
      <c r="I89">
        <v>5.51</v>
      </c>
      <c r="J89">
        <v>1</v>
      </c>
      <c r="K89">
        <v>11647</v>
      </c>
      <c r="L89">
        <v>181</v>
      </c>
      <c r="M89">
        <v>2</v>
      </c>
      <c r="N89">
        <v>1</v>
      </c>
    </row>
    <row r="90" spans="1:14" x14ac:dyDescent="0.35">
      <c r="A90" t="s">
        <v>56</v>
      </c>
      <c r="B90">
        <v>20260612</v>
      </c>
      <c r="C90">
        <v>1111</v>
      </c>
      <c r="D90" t="s">
        <v>53</v>
      </c>
      <c r="E90" t="s">
        <v>54</v>
      </c>
      <c r="F90" t="s">
        <v>35</v>
      </c>
      <c r="G90" t="s">
        <v>21</v>
      </c>
      <c r="H90" t="s">
        <v>19</v>
      </c>
      <c r="I90">
        <v>7.18</v>
      </c>
      <c r="J90">
        <v>2</v>
      </c>
      <c r="K90">
        <v>11879</v>
      </c>
      <c r="L90">
        <v>389</v>
      </c>
      <c r="M90">
        <v>5</v>
      </c>
      <c r="N90">
        <v>5</v>
      </c>
    </row>
    <row r="91" spans="1:14" x14ac:dyDescent="0.35">
      <c r="A91" t="s">
        <v>56</v>
      </c>
      <c r="B91">
        <v>20260612</v>
      </c>
      <c r="C91">
        <v>1111</v>
      </c>
      <c r="D91" t="s">
        <v>53</v>
      </c>
      <c r="E91" t="s">
        <v>54</v>
      </c>
      <c r="F91" t="s">
        <v>35</v>
      </c>
      <c r="G91" t="s">
        <v>22</v>
      </c>
      <c r="H91" t="s">
        <v>19</v>
      </c>
      <c r="I91">
        <v>6.97</v>
      </c>
      <c r="J91">
        <v>1</v>
      </c>
      <c r="K91">
        <v>11678</v>
      </c>
      <c r="L91">
        <v>342</v>
      </c>
      <c r="M91">
        <v>4</v>
      </c>
      <c r="N91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3EBC8-65D5-4577-8746-07AEFE6AAFD5}">
  <dimension ref="B1:H48"/>
  <sheetViews>
    <sheetView workbookViewId="0">
      <selection activeCell="H45" sqref="B45:H45"/>
    </sheetView>
  </sheetViews>
  <sheetFormatPr defaultRowHeight="14.5" x14ac:dyDescent="0.35"/>
  <cols>
    <col min="2" max="2" width="12.453125" bestFit="1" customWidth="1"/>
    <col min="3" max="3" width="28.81640625" bestFit="1" customWidth="1"/>
    <col min="4" max="4" width="19.90625" bestFit="1" customWidth="1"/>
    <col min="5" max="5" width="18.08984375" bestFit="1" customWidth="1"/>
    <col min="6" max="6" width="19.1796875" bestFit="1" customWidth="1"/>
    <col min="7" max="7" width="21.1796875" bestFit="1" customWidth="1"/>
    <col min="8" max="8" width="28.54296875" bestFit="1" customWidth="1"/>
    <col min="11" max="11" width="12.453125" bestFit="1" customWidth="1"/>
    <col min="12" max="12" width="28.81640625" bestFit="1" customWidth="1"/>
    <col min="13" max="13" width="19.90625" bestFit="1" customWidth="1"/>
    <col min="14" max="14" width="18.08984375" bestFit="1" customWidth="1"/>
    <col min="15" max="15" width="19.1796875" bestFit="1" customWidth="1"/>
    <col min="16" max="16" width="21.1796875" bestFit="1" customWidth="1"/>
    <col min="17" max="17" width="28.54296875" bestFit="1" customWidth="1"/>
  </cols>
  <sheetData>
    <row r="1" spans="2:8" x14ac:dyDescent="0.35">
      <c r="B1" s="2" t="s">
        <v>28</v>
      </c>
      <c r="C1" t="s">
        <v>29</v>
      </c>
    </row>
    <row r="2" spans="2:8" x14ac:dyDescent="0.35">
      <c r="B2" s="2" t="s">
        <v>47</v>
      </c>
      <c r="C2" t="s">
        <v>35</v>
      </c>
    </row>
    <row r="4" spans="2:8" x14ac:dyDescent="0.35">
      <c r="B4" s="2" t="s">
        <v>36</v>
      </c>
      <c r="C4" t="s">
        <v>43</v>
      </c>
      <c r="D4" t="s">
        <v>38</v>
      </c>
      <c r="E4" t="s">
        <v>39</v>
      </c>
      <c r="F4" t="s">
        <v>40</v>
      </c>
      <c r="G4" t="s">
        <v>42</v>
      </c>
      <c r="H4" t="s">
        <v>41</v>
      </c>
    </row>
    <row r="5" spans="2:8" x14ac:dyDescent="0.35">
      <c r="B5" s="3" t="s">
        <v>10</v>
      </c>
      <c r="C5" s="27">
        <v>13.28</v>
      </c>
      <c r="D5" s="7">
        <v>2</v>
      </c>
      <c r="E5" s="4">
        <v>8739</v>
      </c>
      <c r="F5" s="4">
        <v>137</v>
      </c>
      <c r="G5" s="7">
        <v>5</v>
      </c>
      <c r="H5" s="7">
        <v>5</v>
      </c>
    </row>
    <row r="6" spans="2:8" x14ac:dyDescent="0.35">
      <c r="B6" s="3" t="s">
        <v>12</v>
      </c>
      <c r="C6" s="27">
        <v>7.93</v>
      </c>
      <c r="D6" s="7">
        <v>1</v>
      </c>
      <c r="E6" s="4">
        <v>7676</v>
      </c>
      <c r="F6" s="4">
        <v>236</v>
      </c>
      <c r="G6" s="7">
        <v>4</v>
      </c>
      <c r="H6" s="7">
        <v>4</v>
      </c>
    </row>
    <row r="7" spans="2:8" x14ac:dyDescent="0.35">
      <c r="B7" s="3" t="s">
        <v>13</v>
      </c>
      <c r="C7" s="27">
        <v>9.26</v>
      </c>
      <c r="D7" s="7">
        <v>1</v>
      </c>
      <c r="E7" s="4">
        <v>7179</v>
      </c>
      <c r="F7" s="4">
        <v>73</v>
      </c>
      <c r="G7" s="7">
        <v>4</v>
      </c>
      <c r="H7" s="7">
        <v>5</v>
      </c>
    </row>
    <row r="8" spans="2:8" x14ac:dyDescent="0.35">
      <c r="B8" s="3" t="s">
        <v>14</v>
      </c>
      <c r="C8" s="27">
        <v>10.42</v>
      </c>
      <c r="D8" s="7">
        <v>2</v>
      </c>
      <c r="E8" s="4">
        <v>6910</v>
      </c>
      <c r="F8" s="4">
        <v>243</v>
      </c>
      <c r="G8" s="7">
        <v>4</v>
      </c>
      <c r="H8" s="7">
        <v>3</v>
      </c>
    </row>
    <row r="9" spans="2:8" x14ac:dyDescent="0.35">
      <c r="B9" s="3" t="s">
        <v>16</v>
      </c>
      <c r="C9" s="27">
        <v>6.07</v>
      </c>
      <c r="D9" s="7">
        <v>1</v>
      </c>
      <c r="E9" s="4">
        <v>7763</v>
      </c>
      <c r="F9" s="4">
        <v>79</v>
      </c>
      <c r="G9" s="7">
        <v>4</v>
      </c>
      <c r="H9" s="7">
        <v>5</v>
      </c>
    </row>
    <row r="10" spans="2:8" x14ac:dyDescent="0.35">
      <c r="B10" s="3" t="s">
        <v>17</v>
      </c>
      <c r="C10" s="27">
        <v>7.35</v>
      </c>
      <c r="D10" s="7">
        <v>1</v>
      </c>
      <c r="E10" s="4">
        <v>7736</v>
      </c>
      <c r="F10" s="4">
        <v>129</v>
      </c>
      <c r="G10" s="7">
        <v>5</v>
      </c>
      <c r="H10" s="7">
        <v>5</v>
      </c>
    </row>
    <row r="11" spans="2:8" x14ac:dyDescent="0.35">
      <c r="B11" s="3" t="s">
        <v>18</v>
      </c>
      <c r="C11" s="27">
        <v>7.61</v>
      </c>
      <c r="D11" s="7">
        <v>1</v>
      </c>
      <c r="E11" s="4">
        <v>7114</v>
      </c>
      <c r="F11" s="4">
        <v>183</v>
      </c>
      <c r="G11" s="7">
        <v>4</v>
      </c>
      <c r="H11" s="7">
        <v>5</v>
      </c>
    </row>
    <row r="12" spans="2:8" x14ac:dyDescent="0.35">
      <c r="B12" s="3" t="s">
        <v>20</v>
      </c>
      <c r="C12" s="27">
        <v>6.6</v>
      </c>
      <c r="D12" s="7">
        <v>1</v>
      </c>
      <c r="E12" s="4">
        <v>7189</v>
      </c>
      <c r="F12" s="4">
        <v>101</v>
      </c>
      <c r="G12" s="7">
        <v>5</v>
      </c>
      <c r="H12" s="7">
        <v>5</v>
      </c>
    </row>
    <row r="13" spans="2:8" x14ac:dyDescent="0.35">
      <c r="B13" s="3" t="s">
        <v>21</v>
      </c>
      <c r="C13" s="27">
        <v>14.1</v>
      </c>
      <c r="D13" s="7">
        <v>2</v>
      </c>
      <c r="E13" s="4">
        <v>7600</v>
      </c>
      <c r="F13" s="4">
        <v>448</v>
      </c>
      <c r="G13" s="7">
        <v>4</v>
      </c>
      <c r="H13" s="7">
        <v>5</v>
      </c>
    </row>
    <row r="14" spans="2:8" x14ac:dyDescent="0.35">
      <c r="B14" s="3" t="s">
        <v>22</v>
      </c>
      <c r="C14" s="27">
        <v>11.99</v>
      </c>
      <c r="D14" s="7">
        <v>1</v>
      </c>
      <c r="E14" s="4">
        <v>10655</v>
      </c>
      <c r="F14" s="4">
        <v>456</v>
      </c>
      <c r="G14" s="7">
        <v>4</v>
      </c>
      <c r="H14" s="7">
        <v>3</v>
      </c>
    </row>
    <row r="15" spans="2:8" x14ac:dyDescent="0.35">
      <c r="B15" s="3" t="s">
        <v>37</v>
      </c>
      <c r="C15" s="27">
        <v>9.4609999999999985</v>
      </c>
      <c r="D15" s="7">
        <v>13</v>
      </c>
      <c r="E15" s="4">
        <v>78561</v>
      </c>
      <c r="F15" s="4">
        <v>2085</v>
      </c>
      <c r="G15" s="7">
        <v>4.3</v>
      </c>
      <c r="H15" s="7">
        <v>4.5</v>
      </c>
    </row>
    <row r="17" spans="2:8" x14ac:dyDescent="0.35">
      <c r="B17" s="2" t="s">
        <v>28</v>
      </c>
      <c r="C17" t="s">
        <v>53</v>
      </c>
    </row>
    <row r="18" spans="2:8" x14ac:dyDescent="0.35">
      <c r="B18" s="2" t="s">
        <v>47</v>
      </c>
      <c r="C18" t="s">
        <v>35</v>
      </c>
    </row>
    <row r="19" spans="2:8" x14ac:dyDescent="0.35">
      <c r="B19" s="2" t="s">
        <v>27</v>
      </c>
      <c r="C19" s="3">
        <v>1111</v>
      </c>
    </row>
    <row r="21" spans="2:8" x14ac:dyDescent="0.35">
      <c r="B21" s="2" t="s">
        <v>36</v>
      </c>
      <c r="C21" t="s">
        <v>43</v>
      </c>
      <c r="D21" t="s">
        <v>38</v>
      </c>
      <c r="E21" t="s">
        <v>39</v>
      </c>
      <c r="F21" t="s">
        <v>40</v>
      </c>
      <c r="G21" t="s">
        <v>42</v>
      </c>
      <c r="H21" t="s">
        <v>41</v>
      </c>
    </row>
    <row r="22" spans="2:8" x14ac:dyDescent="0.35">
      <c r="B22" s="3" t="s">
        <v>10</v>
      </c>
      <c r="C22" s="27">
        <v>5.84</v>
      </c>
      <c r="D22" s="7">
        <v>1</v>
      </c>
      <c r="E22" s="4">
        <v>11306</v>
      </c>
      <c r="F22" s="4">
        <v>143</v>
      </c>
      <c r="G22" s="7">
        <v>5</v>
      </c>
      <c r="H22" s="7">
        <v>5</v>
      </c>
    </row>
    <row r="23" spans="2:8" x14ac:dyDescent="0.35">
      <c r="B23" s="3" t="s">
        <v>12</v>
      </c>
      <c r="C23" s="27">
        <v>7.94</v>
      </c>
      <c r="D23" s="7">
        <v>1</v>
      </c>
      <c r="E23" s="4">
        <v>11731</v>
      </c>
      <c r="F23" s="4">
        <v>433</v>
      </c>
      <c r="G23" s="7">
        <v>4</v>
      </c>
      <c r="H23" s="7">
        <v>5</v>
      </c>
    </row>
    <row r="24" spans="2:8" x14ac:dyDescent="0.35">
      <c r="B24" s="3" t="s">
        <v>13</v>
      </c>
      <c r="C24" s="27">
        <v>5.38</v>
      </c>
      <c r="D24" s="7">
        <v>1</v>
      </c>
      <c r="E24" s="4">
        <v>11512</v>
      </c>
      <c r="F24" s="4">
        <v>161</v>
      </c>
      <c r="G24" s="7">
        <v>5</v>
      </c>
      <c r="H24" s="7">
        <v>5</v>
      </c>
    </row>
    <row r="25" spans="2:8" x14ac:dyDescent="0.35">
      <c r="B25" s="3" t="s">
        <v>14</v>
      </c>
      <c r="C25" s="27">
        <v>6.72</v>
      </c>
      <c r="D25" s="7">
        <v>2</v>
      </c>
      <c r="E25" s="4">
        <v>11691</v>
      </c>
      <c r="F25" s="4">
        <v>268</v>
      </c>
      <c r="G25" s="7">
        <v>4</v>
      </c>
      <c r="H25" s="7">
        <v>2</v>
      </c>
    </row>
    <row r="26" spans="2:8" x14ac:dyDescent="0.35">
      <c r="B26" s="3" t="s">
        <v>16</v>
      </c>
      <c r="C26" s="27">
        <v>6.17</v>
      </c>
      <c r="D26" s="7">
        <v>1</v>
      </c>
      <c r="E26" s="4">
        <v>11778</v>
      </c>
      <c r="F26" s="4">
        <v>255</v>
      </c>
      <c r="G26" s="7">
        <v>5</v>
      </c>
      <c r="H26" s="7">
        <v>5</v>
      </c>
    </row>
    <row r="27" spans="2:8" x14ac:dyDescent="0.35">
      <c r="B27" s="3" t="s">
        <v>17</v>
      </c>
      <c r="C27" s="27">
        <v>5.6</v>
      </c>
      <c r="D27" s="7">
        <v>1</v>
      </c>
      <c r="E27" s="4">
        <v>11465</v>
      </c>
      <c r="F27" s="4">
        <v>171</v>
      </c>
      <c r="G27" s="7">
        <v>5</v>
      </c>
      <c r="H27" s="7">
        <v>5</v>
      </c>
    </row>
    <row r="28" spans="2:8" x14ac:dyDescent="0.35">
      <c r="B28" s="3" t="s">
        <v>18</v>
      </c>
      <c r="C28" s="27">
        <v>6.26</v>
      </c>
      <c r="D28" s="7">
        <v>2</v>
      </c>
      <c r="E28" s="4">
        <v>11743</v>
      </c>
      <c r="F28" s="4">
        <v>296</v>
      </c>
      <c r="G28" s="7">
        <v>5</v>
      </c>
      <c r="H28" s="7">
        <v>5</v>
      </c>
    </row>
    <row r="29" spans="2:8" x14ac:dyDescent="0.35">
      <c r="B29" s="3" t="s">
        <v>20</v>
      </c>
      <c r="C29" s="27">
        <v>5.51</v>
      </c>
      <c r="D29" s="7">
        <v>1</v>
      </c>
      <c r="E29" s="4">
        <v>11647</v>
      </c>
      <c r="F29" s="4">
        <v>181</v>
      </c>
      <c r="G29" s="7">
        <v>2</v>
      </c>
      <c r="H29" s="7">
        <v>1</v>
      </c>
    </row>
    <row r="30" spans="2:8" x14ac:dyDescent="0.35">
      <c r="B30" s="3" t="s">
        <v>21</v>
      </c>
      <c r="C30" s="27">
        <v>7.18</v>
      </c>
      <c r="D30" s="7">
        <v>2</v>
      </c>
      <c r="E30" s="4">
        <v>11879</v>
      </c>
      <c r="F30" s="4">
        <v>389</v>
      </c>
      <c r="G30" s="7">
        <v>5</v>
      </c>
      <c r="H30" s="7">
        <v>5</v>
      </c>
    </row>
    <row r="31" spans="2:8" x14ac:dyDescent="0.35">
      <c r="B31" s="3" t="s">
        <v>22</v>
      </c>
      <c r="C31" s="27">
        <v>6.97</v>
      </c>
      <c r="D31" s="7">
        <v>1</v>
      </c>
      <c r="E31" s="4">
        <v>11678</v>
      </c>
      <c r="F31" s="4">
        <v>342</v>
      </c>
      <c r="G31" s="7">
        <v>4</v>
      </c>
      <c r="H31" s="7">
        <v>5</v>
      </c>
    </row>
    <row r="32" spans="2:8" x14ac:dyDescent="0.35">
      <c r="B32" s="3" t="s">
        <v>37</v>
      </c>
      <c r="C32" s="27">
        <v>6.3569999999999993</v>
      </c>
      <c r="D32" s="7">
        <v>13</v>
      </c>
      <c r="E32" s="4">
        <v>116430</v>
      </c>
      <c r="F32" s="4">
        <v>2639</v>
      </c>
      <c r="G32" s="7">
        <v>4.4000000000000004</v>
      </c>
      <c r="H32" s="7">
        <v>4.3</v>
      </c>
    </row>
    <row r="34" spans="2:8" x14ac:dyDescent="0.35">
      <c r="B34" s="5" t="s">
        <v>44</v>
      </c>
      <c r="C34" s="6">
        <f>C32/C15 -1</f>
        <v>-0.32808371208117537</v>
      </c>
      <c r="D34" s="6">
        <f t="shared" ref="D34:H34" si="0">D32/D15 -1</f>
        <v>0</v>
      </c>
      <c r="E34" s="6">
        <f t="shared" si="0"/>
        <v>0.48203306984381555</v>
      </c>
      <c r="F34" s="6">
        <f t="shared" si="0"/>
        <v>0.26570743405275787</v>
      </c>
      <c r="G34" s="6">
        <f t="shared" si="0"/>
        <v>2.3255813953488413E-2</v>
      </c>
      <c r="H34" s="6">
        <f t="shared" si="0"/>
        <v>-4.4444444444444509E-2</v>
      </c>
    </row>
    <row r="37" spans="2:8" x14ac:dyDescent="0.35">
      <c r="B37" s="20" t="s">
        <v>55</v>
      </c>
      <c r="C37" s="21" t="str">
        <f>C4</f>
        <v>Average of latency_s</v>
      </c>
      <c r="D37" s="21" t="str">
        <f t="shared" ref="D37:H37" si="1">D4</f>
        <v>Sum of tool_call_count</v>
      </c>
      <c r="E37" s="21" t="str">
        <f t="shared" si="1"/>
        <v>Sum of input_tokens</v>
      </c>
      <c r="F37" s="21" t="str">
        <f t="shared" si="1"/>
        <v>Sum of output_tokens</v>
      </c>
      <c r="G37" s="21" t="str">
        <f t="shared" si="1"/>
        <v>Average of quality_score</v>
      </c>
      <c r="H37" s="22" t="str">
        <f t="shared" si="1"/>
        <v>Average of accuracy_judge_score</v>
      </c>
    </row>
    <row r="38" spans="2:8" x14ac:dyDescent="0.35">
      <c r="B38" s="11" t="str">
        <f>B5</f>
        <v>Q01</v>
      </c>
      <c r="C38" s="23">
        <f>C22-C5</f>
        <v>-7.4399999999999995</v>
      </c>
      <c r="D38" s="12">
        <f t="shared" ref="D38:H38" si="2">D22-D5</f>
        <v>-1</v>
      </c>
      <c r="E38" s="12">
        <f t="shared" si="2"/>
        <v>2567</v>
      </c>
      <c r="F38" s="12">
        <f t="shared" si="2"/>
        <v>6</v>
      </c>
      <c r="G38" s="12">
        <f t="shared" si="2"/>
        <v>0</v>
      </c>
      <c r="H38" s="13">
        <f t="shared" si="2"/>
        <v>0</v>
      </c>
    </row>
    <row r="39" spans="2:8" x14ac:dyDescent="0.35">
      <c r="B39" s="14" t="str">
        <f t="shared" ref="B39:B48" si="3">B6</f>
        <v>Q02</v>
      </c>
      <c r="C39" s="24">
        <f t="shared" ref="C39:H39" si="4">C23-C6</f>
        <v>1.0000000000000675E-2</v>
      </c>
      <c r="D39" s="15">
        <f t="shared" si="4"/>
        <v>0</v>
      </c>
      <c r="E39" s="15">
        <f t="shared" si="4"/>
        <v>4055</v>
      </c>
      <c r="F39" s="15">
        <f t="shared" si="4"/>
        <v>197</v>
      </c>
      <c r="G39" s="15">
        <f t="shared" si="4"/>
        <v>0</v>
      </c>
      <c r="H39" s="16">
        <f t="shared" si="4"/>
        <v>1</v>
      </c>
    </row>
    <row r="40" spans="2:8" x14ac:dyDescent="0.35">
      <c r="B40" s="14" t="str">
        <f t="shared" si="3"/>
        <v>Q03</v>
      </c>
      <c r="C40" s="24">
        <f t="shared" ref="C40:H40" si="5">C24-C7</f>
        <v>-3.88</v>
      </c>
      <c r="D40" s="15">
        <f t="shared" si="5"/>
        <v>0</v>
      </c>
      <c r="E40" s="15">
        <f t="shared" si="5"/>
        <v>4333</v>
      </c>
      <c r="F40" s="15">
        <f t="shared" si="5"/>
        <v>88</v>
      </c>
      <c r="G40" s="15">
        <f t="shared" si="5"/>
        <v>1</v>
      </c>
      <c r="H40" s="16">
        <f t="shared" si="5"/>
        <v>0</v>
      </c>
    </row>
    <row r="41" spans="2:8" x14ac:dyDescent="0.35">
      <c r="B41" s="14" t="str">
        <f t="shared" si="3"/>
        <v>Q04</v>
      </c>
      <c r="C41" s="24">
        <f t="shared" ref="C41:H41" si="6">C25-C8</f>
        <v>-3.7</v>
      </c>
      <c r="D41" s="15">
        <f t="shared" si="6"/>
        <v>0</v>
      </c>
      <c r="E41" s="15">
        <f t="shared" si="6"/>
        <v>4781</v>
      </c>
      <c r="F41" s="15">
        <f t="shared" si="6"/>
        <v>25</v>
      </c>
      <c r="G41" s="15">
        <f t="shared" si="6"/>
        <v>0</v>
      </c>
      <c r="H41" s="16">
        <f t="shared" si="6"/>
        <v>-1</v>
      </c>
    </row>
    <row r="42" spans="2:8" x14ac:dyDescent="0.35">
      <c r="B42" s="14" t="str">
        <f t="shared" si="3"/>
        <v>Q05</v>
      </c>
      <c r="C42" s="24">
        <f t="shared" ref="C42:H42" si="7">C26-C9</f>
        <v>9.9999999999999645E-2</v>
      </c>
      <c r="D42" s="15">
        <f t="shared" si="7"/>
        <v>0</v>
      </c>
      <c r="E42" s="15">
        <f t="shared" si="7"/>
        <v>4015</v>
      </c>
      <c r="F42" s="15">
        <f t="shared" si="7"/>
        <v>176</v>
      </c>
      <c r="G42" s="15">
        <f t="shared" si="7"/>
        <v>1</v>
      </c>
      <c r="H42" s="16">
        <f t="shared" si="7"/>
        <v>0</v>
      </c>
    </row>
    <row r="43" spans="2:8" x14ac:dyDescent="0.35">
      <c r="B43" s="14" t="str">
        <f t="shared" si="3"/>
        <v>Q06</v>
      </c>
      <c r="C43" s="24">
        <f t="shared" ref="C43:H43" si="8">C27-C10</f>
        <v>-1.75</v>
      </c>
      <c r="D43" s="15">
        <f t="shared" si="8"/>
        <v>0</v>
      </c>
      <c r="E43" s="15">
        <f t="shared" si="8"/>
        <v>3729</v>
      </c>
      <c r="F43" s="15">
        <f t="shared" si="8"/>
        <v>42</v>
      </c>
      <c r="G43" s="15">
        <f t="shared" si="8"/>
        <v>0</v>
      </c>
      <c r="H43" s="16">
        <f t="shared" si="8"/>
        <v>0</v>
      </c>
    </row>
    <row r="44" spans="2:8" x14ac:dyDescent="0.35">
      <c r="B44" s="14" t="str">
        <f t="shared" si="3"/>
        <v>Q07</v>
      </c>
      <c r="C44" s="24">
        <f t="shared" ref="C44:H44" si="9">C28-C11</f>
        <v>-1.3500000000000005</v>
      </c>
      <c r="D44" s="15">
        <f t="shared" si="9"/>
        <v>1</v>
      </c>
      <c r="E44" s="15">
        <f t="shared" si="9"/>
        <v>4629</v>
      </c>
      <c r="F44" s="15">
        <f t="shared" si="9"/>
        <v>113</v>
      </c>
      <c r="G44" s="15">
        <f t="shared" si="9"/>
        <v>1</v>
      </c>
      <c r="H44" s="16">
        <f t="shared" si="9"/>
        <v>0</v>
      </c>
    </row>
    <row r="45" spans="2:8" x14ac:dyDescent="0.35">
      <c r="B45" s="14" t="str">
        <f t="shared" si="3"/>
        <v>Q08</v>
      </c>
      <c r="C45" s="24">
        <f t="shared" ref="C45:H45" si="10">C29-C12</f>
        <v>-1.0899999999999999</v>
      </c>
      <c r="D45" s="15">
        <f t="shared" si="10"/>
        <v>0</v>
      </c>
      <c r="E45" s="15">
        <f t="shared" si="10"/>
        <v>4458</v>
      </c>
      <c r="F45" s="15">
        <f t="shared" si="10"/>
        <v>80</v>
      </c>
      <c r="G45" s="15">
        <f t="shared" si="10"/>
        <v>-3</v>
      </c>
      <c r="H45" s="16">
        <f t="shared" si="10"/>
        <v>-4</v>
      </c>
    </row>
    <row r="46" spans="2:8" x14ac:dyDescent="0.35">
      <c r="B46" s="14" t="str">
        <f t="shared" si="3"/>
        <v>Q09</v>
      </c>
      <c r="C46" s="24">
        <f t="shared" ref="C46:H46" si="11">C30-C13</f>
        <v>-6.92</v>
      </c>
      <c r="D46" s="15">
        <f t="shared" si="11"/>
        <v>0</v>
      </c>
      <c r="E46" s="15">
        <f t="shared" si="11"/>
        <v>4279</v>
      </c>
      <c r="F46" s="15">
        <f t="shared" si="11"/>
        <v>-59</v>
      </c>
      <c r="G46" s="15">
        <f t="shared" si="11"/>
        <v>1</v>
      </c>
      <c r="H46" s="16">
        <f t="shared" si="11"/>
        <v>0</v>
      </c>
    </row>
    <row r="47" spans="2:8" x14ac:dyDescent="0.35">
      <c r="B47" s="17" t="str">
        <f t="shared" si="3"/>
        <v>Q10</v>
      </c>
      <c r="C47" s="25">
        <f t="shared" ref="C47:H47" si="12">C31-C14</f>
        <v>-5.0200000000000005</v>
      </c>
      <c r="D47" s="18">
        <f t="shared" si="12"/>
        <v>0</v>
      </c>
      <c r="E47" s="18">
        <f t="shared" si="12"/>
        <v>1023</v>
      </c>
      <c r="F47" s="18">
        <f t="shared" si="12"/>
        <v>-114</v>
      </c>
      <c r="G47" s="18">
        <f t="shared" si="12"/>
        <v>0</v>
      </c>
      <c r="H47" s="19">
        <f t="shared" si="12"/>
        <v>2</v>
      </c>
    </row>
    <row r="48" spans="2:8" x14ac:dyDescent="0.35">
      <c r="B48" s="8" t="str">
        <f t="shared" si="3"/>
        <v>Grand Total</v>
      </c>
      <c r="C48" s="26">
        <f t="shared" ref="C48:H48" si="13">C32-C15</f>
        <v>-3.1039999999999992</v>
      </c>
      <c r="D48" s="9">
        <f t="shared" si="13"/>
        <v>0</v>
      </c>
      <c r="E48" s="9">
        <f t="shared" si="13"/>
        <v>37869</v>
      </c>
      <c r="F48" s="9">
        <f t="shared" si="13"/>
        <v>554</v>
      </c>
      <c r="G48" s="9">
        <f t="shared" si="13"/>
        <v>0.10000000000000053</v>
      </c>
      <c r="H48" s="10">
        <f t="shared" si="13"/>
        <v>-0.20000000000000018</v>
      </c>
    </row>
  </sheetData>
  <conditionalFormatting sqref="G38:H4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evals_summary</vt:lpstr>
      <vt:lpstr>pivots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Molyneaux</dc:creator>
  <cp:lastModifiedBy>Ben Molyneaux</cp:lastModifiedBy>
  <dcterms:created xsi:type="dcterms:W3CDTF">2026-06-04T14:50:22Z</dcterms:created>
  <dcterms:modified xsi:type="dcterms:W3CDTF">2026-06-12T10:23:41Z</dcterms:modified>
</cp:coreProperties>
</file>